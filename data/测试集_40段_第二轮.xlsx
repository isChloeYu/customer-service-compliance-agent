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0490" windowHeight="7695" tabRatio="500"/>
  </bookViews>
  <sheets>
    <sheet name="测试集" sheetId="1" r:id="rId1"/>
    <sheet name="配比核对与指标" sheetId="2" r:id="rId2"/>
  </sheets>
  <definedNames>
    <definedName name="_xlnm._FilterDatabase" localSheetId="0" hidden="1">测试集!$A$1:$N$41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<sst xmlns="http://schemas.openxmlformats.org/spreadsheetml/2006/main" count="420" uniqueCount="198">
  <si>
    <t>编号</t>
  </si>
  <si>
    <t>分组</t>
  </si>
  <si>
    <t>对话内容</t>
  </si>
  <si>
    <t>标准答案</t>
  </si>
  <si>
    <t>违规类型</t>
  </si>
  <si>
    <t>依据条文</t>
  </si>
  <si>
    <t>风格</t>
  </si>
  <si>
    <t>是否难题</t>
  </si>
  <si>
    <t>考点说明</t>
  </si>
  <si>
    <r>
      <rPr>
        <b/>
        <sz val="10"/>
        <rFont val="Arial"/>
        <charset val="1"/>
      </rPr>
      <t>Agent</t>
    </r>
    <r>
      <rPr>
        <b/>
        <sz val="10"/>
        <rFont val="Noto Sans CJK SC"/>
        <charset val="134"/>
      </rPr>
      <t>判断</t>
    </r>
    <r>
      <rPr>
        <b/>
        <sz val="10"/>
        <rFont val="Arial"/>
        <charset val="1"/>
      </rPr>
      <t>(</t>
    </r>
    <r>
      <rPr>
        <b/>
        <sz val="10"/>
        <rFont val="Noto Sans CJK SC"/>
        <charset val="134"/>
      </rPr>
      <t>结论</t>
    </r>
    <r>
      <rPr>
        <b/>
        <sz val="10"/>
        <rFont val="Arial"/>
        <charset val="1"/>
      </rPr>
      <t>)</t>
    </r>
  </si>
  <si>
    <r>
      <rPr>
        <b/>
        <sz val="10"/>
        <rFont val="Arial"/>
        <charset val="1"/>
      </rPr>
      <t>Agent</t>
    </r>
    <r>
      <rPr>
        <b/>
        <sz val="10"/>
        <rFont val="Noto Sans CJK SC"/>
        <charset val="134"/>
      </rPr>
      <t>判断</t>
    </r>
    <r>
      <rPr>
        <b/>
        <sz val="10"/>
        <rFont val="Arial"/>
        <charset val="1"/>
      </rPr>
      <t>(</t>
    </r>
    <r>
      <rPr>
        <b/>
        <sz val="10"/>
        <rFont val="Noto Sans CJK SC"/>
        <charset val="134"/>
      </rPr>
      <t>类型</t>
    </r>
    <r>
      <rPr>
        <b/>
        <sz val="10"/>
        <rFont val="Arial"/>
        <charset val="1"/>
      </rPr>
      <t>)</t>
    </r>
  </si>
  <si>
    <t>是否判对</t>
  </si>
  <si>
    <t>错误归因</t>
  </si>
  <si>
    <t>备注</t>
  </si>
  <si>
    <t>R1-01</t>
  </si>
  <si>
    <r>
      <rPr>
        <sz val="10"/>
        <rFont val="Noto Sans CJK SC"/>
        <charset val="134"/>
      </rPr>
      <t>前</t>
    </r>
    <r>
      <rPr>
        <sz val="10"/>
        <rFont val="Arial"/>
        <charset val="1"/>
      </rPr>
      <t>30</t>
    </r>
  </si>
  <si>
    <r>
      <t>顾客：昨天收到的连衣裙，不喜欢，想七天无理由退货。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客服：这款是特价款，特价商品不支持退换哦。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顾客：下单页面没看到写不能退啊。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客服：特价款都是这样的，没法退。</t>
    </r>
  </si>
  <si>
    <t>违规</t>
  </si>
  <si>
    <t>R1</t>
  </si>
  <si>
    <t>《暂行办法》第六条、第七条、第二十条；《保护法》第二十五条</t>
  </si>
  <si>
    <t>直白</t>
  </si>
  <si>
    <t>特价不是法定例外，购买时也没有确认过</t>
  </si>
  <si>
    <t>R1-02</t>
  </si>
  <si>
    <r>
      <t>顾客：保温杯收到第二天，想退。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客服：您下单时勾选了</t>
    </r>
    <r>
      <rPr>
        <sz val="10"/>
        <rFont val="Noto Sans CJK SC"/>
        <charset val="134"/>
      </rPr>
      <t>“</t>
    </r>
    <r>
      <rPr>
        <sz val="10"/>
        <rFont val="宋体"/>
        <charset val="134"/>
      </rPr>
      <t>本商品不支持七天无理由退货</t>
    </r>
    <r>
      <rPr>
        <sz val="10"/>
        <rFont val="Noto Sans CJK SC"/>
        <charset val="134"/>
      </rPr>
      <t>”</t>
    </r>
    <r>
      <rPr>
        <sz val="10"/>
        <rFont val="宋体"/>
        <charset val="134"/>
      </rPr>
      <t>，不能退。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顾客：我没主动勾，页面本来就打好了。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客服：是默认勾上的，但您没取消就算同意。</t>
    </r>
  </si>
  <si>
    <t>《实施条例》第十九条第二款；《暂行办法》第二十条</t>
  </si>
  <si>
    <t>把默认勾选当作消费者确认</t>
  </si>
  <si>
    <t>R1-03</t>
  </si>
  <si>
    <r>
      <t>顾客：台灯收到三天，我只是拆开通电试了下亮不亮，没用过，想退。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客服：您已经拆封通电，影响二次销售，不能退了。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顾客：我只是确认能不能用啊。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客服：拆了就不退，这是规定。</t>
    </r>
  </si>
  <si>
    <t>《暂行办法》第八条、第三十一条第（一）项；《实施条例》第十九条第三款</t>
  </si>
  <si>
    <t>为查验、合理调试而拆封，不影响商品完好</t>
  </si>
  <si>
    <t>R1-04</t>
  </si>
  <si>
    <r>
      <t>顾客：我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10</t>
    </r>
    <r>
      <rPr>
        <sz val="10"/>
        <rFont val="宋体"/>
        <charset val="134"/>
      </rPr>
      <t>日签收的水杯，想申请无理由退货。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客服：您今天申请是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17</t>
    </r>
    <r>
      <rPr>
        <sz val="10"/>
        <rFont val="宋体"/>
        <charset val="134"/>
      </rPr>
      <t>日，超过七天了，不能退。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10</t>
    </r>
    <r>
      <rPr>
        <sz val="10"/>
        <rFont val="宋体"/>
        <charset val="134"/>
      </rPr>
      <t>日签收，今天不是第七天吗？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客服：七天从签收当天算，今天是第八天，超了。</t>
    </r>
  </si>
  <si>
    <t>《暂行办法》第十条</t>
  </si>
  <si>
    <r>
      <rPr>
        <sz val="10"/>
        <rFont val="Noto Sans CJK SC"/>
        <charset val="134"/>
      </rPr>
      <t>七日自签收次日起算：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月</t>
    </r>
    <r>
      <rPr>
        <sz val="10"/>
        <rFont val="Arial"/>
        <charset val="1"/>
      </rPr>
      <t>11</t>
    </r>
    <r>
      <rPr>
        <sz val="10"/>
        <rFont val="Noto Sans CJK SC"/>
        <charset val="134"/>
      </rPr>
      <t>日为第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天，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月</t>
    </r>
    <r>
      <rPr>
        <sz val="10"/>
        <rFont val="Arial"/>
        <charset val="1"/>
      </rPr>
      <t>17</t>
    </r>
    <r>
      <rPr>
        <sz val="10"/>
        <rFont val="Noto Sans CJK SC"/>
        <charset val="134"/>
      </rPr>
      <t>日为第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>天，仍在期内</t>
    </r>
  </si>
  <si>
    <t>R1-05</t>
  </si>
  <si>
    <r>
      <rPr>
        <sz val="10"/>
        <rFont val="Noto Sans CJK SC"/>
        <charset val="134"/>
      </rPr>
      <t>后</t>
    </r>
    <r>
      <rPr>
        <sz val="10"/>
        <rFont val="Arial"/>
        <charset val="1"/>
      </rPr>
      <t>10</t>
    </r>
  </si>
  <si>
    <r>
      <t>顾客：运动鞋收到五天，尺码不合适，鞋子没穿过，想无理由退货。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客服：鞋子有质量问题吗？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顾客：没有，就是不合适。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客服：没有质量问题的话，我们不支持退货。</t>
    </r>
  </si>
  <si>
    <t>《保护法》第二十五条第一款</t>
  </si>
  <si>
    <t>无理由退货无需说明理由</t>
  </si>
  <si>
    <t>R2-01</t>
  </si>
  <si>
    <r>
      <t>顾客：我是敏感肌，这款面霜会过敏吗？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客服：放心，我们这款绝对不会过敏，百分百安全。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顾客：真的所有人都不会吗？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客服：对，不管什么肤质都没问题，您直接用就行。</t>
    </r>
  </si>
  <si>
    <t>R2</t>
  </si>
  <si>
    <t>《保护法》第二十条第一款、第五十六条第一款第（六）项</t>
  </si>
  <si>
    <t>对安全性作绝对化承诺</t>
  </si>
  <si>
    <t>R2-02</t>
  </si>
  <si>
    <r>
      <t>顾客：我脖子疼了好几年，这个按摩仪有用吗？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客服：有用的，这款能根治颈椎病，用一个月就不用再去医院了。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顾客：真的能治好？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客服：能，好多顾客都是这样治好的。</t>
    </r>
  </si>
  <si>
    <t>《实施条例》第十五条；《保护法》第二十条第一款</t>
  </si>
  <si>
    <t>虚构、夸大治疗功效</t>
  </si>
  <si>
    <t>R2-03</t>
  </si>
  <si>
    <r>
      <t>顾客：电饭煲收到有点担心质量，坏了怎么办？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客服：您放心，坏了我们三天内上门免费维修。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（五天后）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顾客：电饭煲坏了，你们说好上门修的。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客服：我们其实没有上门维修服务，当时是为了让您下单才这么说的。</t>
    </r>
  </si>
  <si>
    <t>《实施条例》第十二条；《保护法》第二十条第一款</t>
  </si>
  <si>
    <t>作出售后承诺，且对话里明确承认不打算兑现</t>
  </si>
  <si>
    <t>R2-04</t>
  </si>
  <si>
    <r>
      <t>顾客：我痘痘很严重，这个祛痘精华能好吗？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客服：保证有效，用一周痘痘肯定全部消掉。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顾客：万一没效果呢？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客服：不会没效果的，您放心用。</t>
    </r>
  </si>
  <si>
    <t>对功效作“保证有效”式承诺</t>
  </si>
  <si>
    <t>R3-01</t>
  </si>
  <si>
    <r>
      <t>顾客：电水壶收到第</t>
    </r>
    <r>
      <rPr>
        <sz val="10"/>
        <rFont val="Arial"/>
        <charset val="134"/>
      </rPr>
      <t>4</t>
    </r>
    <r>
      <rPr>
        <sz val="10"/>
        <rFont val="宋体"/>
        <charset val="134"/>
      </rPr>
      <t>天，一加热就漏水，我要退货。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客服：亲，抱歉～我们店质量问题</t>
    </r>
    <r>
      <rPr>
        <sz val="10"/>
        <rFont val="Arial"/>
        <charset val="134"/>
      </rPr>
      <t>7</t>
    </r>
    <r>
      <rPr>
        <sz val="10"/>
        <rFont val="宋体"/>
        <charset val="134"/>
      </rPr>
      <t>天内包退换的哦，这边先给您安排维修吧。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顾客：不是包退换吗？我不想修，想退。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客服：亲，维修是优先处理方式呢，暂时不支持直接退货哦～</t>
    </r>
  </si>
  <si>
    <t>R3</t>
  </si>
  <si>
    <t>《实施条例》第十二条；《保护法》第二十四条</t>
  </si>
  <si>
    <t>客气</t>
  </si>
  <si>
    <r>
      <rPr>
        <sz val="10"/>
        <rFont val="Noto Sans CJK SC"/>
        <charset val="134"/>
      </rPr>
      <t>自己承诺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>天包退换，却只给维修、拒绝退货</t>
    </r>
  </si>
  <si>
    <t>R3-02</t>
  </si>
  <si>
    <r>
      <t>顾客（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9</t>
    </r>
    <r>
      <rPr>
        <sz val="10"/>
        <rFont val="宋体"/>
        <charset val="134"/>
      </rPr>
      <t>日）：无理由退货的商品寄回了，快递显示今天签收，什么时候退款？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9</t>
    </r>
    <r>
      <rPr>
        <sz val="10"/>
        <rFont val="宋体"/>
        <charset val="134"/>
      </rPr>
      <t>日）：亲，已收到，检查过商品完好，我们会尽快处理哦～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20</t>
    </r>
    <r>
      <rPr>
        <sz val="10"/>
        <rFont val="宋体"/>
        <charset val="134"/>
      </rPr>
      <t>日）：都十多天了还没到账。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20</t>
    </r>
    <r>
      <rPr>
        <sz val="10"/>
        <rFont val="宋体"/>
        <charset val="134"/>
      </rPr>
      <t>日）：亲，财务在处理中呢，请您再耐心等等～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25</t>
    </r>
    <r>
      <rPr>
        <sz val="10"/>
        <rFont val="宋体"/>
        <charset val="134"/>
      </rPr>
      <t>日）：第十六天了。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25</t>
    </r>
    <r>
      <rPr>
        <sz val="10"/>
        <rFont val="宋体"/>
        <charset val="134"/>
      </rPr>
      <t>日）：亲，理解您着急，我再帮您催一下哦～</t>
    </r>
  </si>
  <si>
    <t>《暂行办法》第十三条、第三十一条第（三）项</t>
  </si>
  <si>
    <r>
      <rPr>
        <sz val="10"/>
        <rFont val="Noto Sans CJK SC"/>
        <charset val="134"/>
      </rPr>
      <t>不看是否故意：商品完好，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月</t>
    </r>
    <r>
      <rPr>
        <sz val="10"/>
        <rFont val="Arial"/>
        <charset val="1"/>
      </rPr>
      <t>9</t>
    </r>
    <r>
      <rPr>
        <sz val="10"/>
        <rFont val="Noto Sans CJK SC"/>
        <charset val="134"/>
      </rPr>
      <t>日收到退回商品，至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月</t>
    </r>
    <r>
      <rPr>
        <sz val="10"/>
        <rFont val="Arial"/>
        <charset val="1"/>
      </rPr>
      <t>25</t>
    </r>
    <r>
      <rPr>
        <sz val="10"/>
        <rFont val="Noto Sans CJK SC"/>
        <charset val="134"/>
      </rPr>
      <t>日为第</t>
    </r>
    <r>
      <rPr>
        <sz val="10"/>
        <rFont val="Arial"/>
        <charset val="1"/>
      </rPr>
      <t>16</t>
    </r>
    <r>
      <rPr>
        <sz val="10"/>
        <rFont val="Noto Sans CJK SC"/>
        <charset val="134"/>
      </rPr>
      <t>天，超过十五日未退款</t>
    </r>
  </si>
  <si>
    <t>R3-03</t>
  </si>
  <si>
    <r>
      <t>顾客：数据线用了</t>
    </r>
    <r>
      <rPr>
        <sz val="10"/>
        <rFont val="Arial"/>
        <charset val="134"/>
      </rPr>
      <t>4</t>
    </r>
    <r>
      <rPr>
        <sz val="10"/>
        <rFont val="宋体"/>
        <charset val="134"/>
      </rPr>
      <t>个月就坏了，页面写的质保</t>
    </r>
    <r>
      <rPr>
        <sz val="10"/>
        <rFont val="Arial"/>
        <charset val="134"/>
      </rPr>
      <t>2</t>
    </r>
    <r>
      <rPr>
        <sz val="10"/>
        <rFont val="宋体"/>
        <charset val="134"/>
      </rPr>
      <t>年。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客服：亲，我们这款质量问题</t>
    </r>
    <r>
      <rPr>
        <sz val="10"/>
        <rFont val="Arial"/>
        <charset val="134"/>
      </rPr>
      <t>7</t>
    </r>
    <r>
      <rPr>
        <sz val="10"/>
        <rFont val="宋体"/>
        <charset val="134"/>
      </rPr>
      <t>天包退换，</t>
    </r>
    <r>
      <rPr>
        <sz val="10"/>
        <rFont val="Arial"/>
        <charset val="134"/>
      </rPr>
      <t>15</t>
    </r>
    <r>
      <rPr>
        <sz val="10"/>
        <rFont val="宋体"/>
        <charset val="134"/>
      </rPr>
      <t>天包换新，</t>
    </r>
    <r>
      <rPr>
        <sz val="10"/>
        <rFont val="Arial"/>
        <charset val="134"/>
      </rPr>
      <t>90</t>
    </r>
    <r>
      <rPr>
        <sz val="10"/>
        <rFont val="宋体"/>
        <charset val="134"/>
      </rPr>
      <t>天内免费维修，超过</t>
    </r>
    <r>
      <rPr>
        <sz val="10"/>
        <rFont val="Arial"/>
        <charset val="134"/>
      </rPr>
      <t>90</t>
    </r>
    <r>
      <rPr>
        <sz val="10"/>
        <rFont val="宋体"/>
        <charset val="134"/>
      </rPr>
      <t>天只免费维修，运费自理哦～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顾客：页面写的是</t>
    </r>
    <r>
      <rPr>
        <sz val="10"/>
        <rFont val="Arial"/>
        <charset val="134"/>
      </rPr>
      <t>2</t>
    </r>
    <r>
      <rPr>
        <sz val="10"/>
        <rFont val="宋体"/>
        <charset val="134"/>
      </rPr>
      <t>年啊。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客服：亲，以店铺售后规则为准呢，您寄回来我们帮您修，运费需要您承担哦～</t>
    </r>
  </si>
  <si>
    <t>《实施条例》第十二条；《保护法》第二十四条第二款</t>
  </si>
  <si>
    <t>与页面承诺不符，且让消费者承担质量问题的运费（情形改编自本人的真实购物经历）</t>
  </si>
  <si>
    <t>R3-04</t>
  </si>
  <si>
    <r>
      <t>顾客：耳机收到第</t>
    </r>
    <r>
      <rPr>
        <sz val="10"/>
        <rFont val="Arial"/>
        <charset val="134"/>
      </rPr>
      <t>3</t>
    </r>
    <r>
      <rPr>
        <sz val="10"/>
        <rFont val="宋体"/>
        <charset val="134"/>
      </rPr>
      <t>天，右耳没声音，质量问题，想退货。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客服：亲，可以退的哦～退回的运费需要您先自己承担一下呢。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顾客：质量问题的运费不该你们出吗？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客服：亲，店铺规则是退货运费由买家承担，没办法的哦～</t>
    </r>
  </si>
  <si>
    <t>《保护法》第二十四条第二款</t>
  </si>
  <si>
    <r>
      <rPr>
        <sz val="10"/>
        <rFont val="Noto Sans CJK SC"/>
        <charset val="134"/>
      </rPr>
      <t>让消费者承担质量问题的退货运费；与</t>
    </r>
    <r>
      <rPr>
        <sz val="10"/>
        <rFont val="Arial"/>
        <charset val="1"/>
      </rPr>
      <t>R3-03</t>
    </r>
    <r>
      <rPr>
        <sz val="10"/>
        <rFont val="Noto Sans CJK SC"/>
        <charset val="134"/>
      </rPr>
      <t>运费点相同，检验改进后能否举一反三</t>
    </r>
  </si>
  <si>
    <t>R4-01</t>
  </si>
  <si>
    <r>
      <t>顾客：我要退这个杯子，钱怎么退给我？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客服：退款需要核实身份，请把您的身份证号、银行卡号和银行卡密码发给我。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顾客：密码也要吗？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客服：要的，不然系统无法办理退款。</t>
    </r>
  </si>
  <si>
    <t>R4</t>
  </si>
  <si>
    <t>《保护法》第二十九条第一款；《实施条例》第二十三条</t>
  </si>
  <si>
    <t>退款原路返回，不需要银行卡密码</t>
  </si>
  <si>
    <t>R4-02</t>
  </si>
  <si>
    <r>
      <t>顾客：我想换个尺码，怎么操作？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客服：亲，可以的呢～为了给您建立专属会员档案、方便后续享受优惠，麻烦提供一下您的身份证号码和工作单位哦。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顾客：换尺码也要这些吗？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客服：建档之后换货会更快哦，不提供也行，不过换货可能会慢一些呢～</t>
    </r>
  </si>
  <si>
    <t>《实施条例》第二十三条；《保护法》第二十九条第一款</t>
  </si>
  <si>
    <t>语气客气，但以“建档”为由索要与换货无关的信息，还变相施压</t>
  </si>
  <si>
    <t>R4-03</t>
  </si>
  <si>
    <r>
      <t>顾客：快递显示已签收，但我没收到，能帮我查一下吗？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客服：好的，我帮您看下。订单信息给您核对：收件人张某某，电话</t>
    </r>
    <r>
      <rPr>
        <sz val="10"/>
        <rFont val="Arial"/>
        <charset val="134"/>
      </rPr>
      <t>138××××5678</t>
    </r>
    <r>
      <rPr>
        <sz val="10"/>
        <rFont val="宋体"/>
        <charset val="134"/>
      </rPr>
      <t>，地址</t>
    </r>
    <r>
      <rPr>
        <sz val="10"/>
        <rFont val="Arial"/>
        <charset val="134"/>
      </rPr>
      <t>××</t>
    </r>
    <r>
      <rPr>
        <sz val="10"/>
        <rFont val="宋体"/>
        <charset val="134"/>
      </rPr>
      <t>区</t>
    </r>
    <r>
      <rPr>
        <sz val="10"/>
        <rFont val="Arial"/>
        <charset val="134"/>
      </rPr>
      <t>××</t>
    </r>
    <r>
      <rPr>
        <sz val="10"/>
        <rFont val="宋体"/>
        <charset val="134"/>
      </rPr>
      <t>路</t>
    </r>
    <r>
      <rPr>
        <sz val="10"/>
        <rFont val="Arial"/>
        <charset val="134"/>
      </rPr>
      <t>12</t>
    </r>
    <r>
      <rPr>
        <sz val="10"/>
        <rFont val="宋体"/>
        <charset val="134"/>
      </rPr>
      <t>号，昨天</t>
    </r>
    <r>
      <rPr>
        <sz val="10"/>
        <rFont val="Arial"/>
        <charset val="134"/>
      </rPr>
      <t>16:20</t>
    </r>
    <r>
      <rPr>
        <sz val="10"/>
        <rFont val="宋体"/>
        <charset val="134"/>
      </rPr>
      <t>签收。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顾客：这不是我的名字和地址啊。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客服：不好意思，我调错订单了，这是另一位顾客的，您忽略就行。</t>
    </r>
  </si>
  <si>
    <t>《保护法》第二十九条第二款、第十四条、第五十条</t>
  </si>
  <si>
    <t>一般</t>
  </si>
  <si>
    <t>向消费者披露了另一位顾客的个人信息</t>
  </si>
  <si>
    <t>R4-04</t>
  </si>
  <si>
    <r>
      <t>顾客：手机收到不满意，申请退款。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客服：亲，这单金额比较大，为了保障您的资金安全，需要您上传一下身份证正反面照片核实身份哦～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顾客：之前退款没要求过啊。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客服：大额订单都会核实的呢～</t>
    </r>
  </si>
  <si>
    <t>《实施条例》第二十三条第一款；《保护法》第二十九条第一款</t>
  </si>
  <si>
    <t>退款原路返回，用不到证件照（此题标准答案由本人判定）</t>
  </si>
  <si>
    <t>待复核</t>
  </si>
  <si>
    <t>R5-01</t>
  </si>
  <si>
    <r>
      <t>顾客：这是我第三次问了，退款到底什么时候到账？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客服：我跟您说了三遍了，三到五个工作日，您是不是听不懂人话？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顾客：你怎么说话的？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客服：我说错了吗？脑子不好使就别网购。</t>
    </r>
  </si>
  <si>
    <t>R5</t>
  </si>
  <si>
    <t>《保护法》第十四条、第五十条、第五十六条第一款第（九）项</t>
  </si>
  <si>
    <t>辱骂、侮辱消费者</t>
  </si>
  <si>
    <t>R5-02</t>
  </si>
  <si>
    <r>
      <t>顾客：这个优惠券我不知道怎么用，能教一下吗？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客服：亲，这么简单的操作都不会，是不是平时不怎么用脑子呢～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顾客：你什么意思？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客服：没什么意思呀亲，我只是觉得您可能需要多练习一下哦～</t>
    </r>
  </si>
  <si>
    <t>语气客气，但讽刺、贬低消费者</t>
  </si>
  <si>
    <t>R5-03</t>
  </si>
  <si>
    <r>
      <t>顾客：你们不处理的话，我要去平台投诉。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客服：你再投诉一个试试，我们店有的是办法让你好看。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顾客：你这是威胁我吗？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客服：随你怎么理解，你自己掂量。</t>
    </r>
  </si>
  <si>
    <t>以“让你好看”威胁消费者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</si>
  <si>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R1-01</t>
    </r>
  </si>
  <si>
    <r>
      <t>顾客：内裤收到三天，拆开发现尺码小了，想退。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客服：贴身衣物拆封后影响卫生，下单页面有提示并要求确认的，不能退了。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顾客：我不记得点过什么确认。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客服：系统里有您的确认记录，不好意思。</t>
    </r>
  </si>
  <si>
    <t>《暂行办法》第七条、第二十条第二款</t>
  </si>
  <si>
    <t>缺的信息：购买时是否确认过。对话里只有客服一面之词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</si>
  <si>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R1-02</t>
    </r>
  </si>
  <si>
    <r>
      <t>顾客：上次买的收纳盒，想申请无理由退货。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客服：您这单系统显示已经超过七天了，不能退了。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顾客：我记得是上周才收到的。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客服：物流显示早就签收了，您可能记错了。</t>
    </r>
  </si>
  <si>
    <t>缺的信息：具体签收日期，无法判断是否超过七日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</si>
  <si>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R2-01</t>
    </r>
  </si>
  <si>
    <r>
      <t>顾客：这款空气炸锅耐用吗？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客服：亲，我们家这款卖得特别好呢，月销三万多，好评率</t>
    </r>
    <r>
      <rPr>
        <sz val="10"/>
        <rFont val="Arial"/>
        <charset val="134"/>
      </rPr>
      <t>98%</t>
    </r>
    <r>
      <rPr>
        <sz val="10"/>
        <rFont val="宋体"/>
        <charset val="134"/>
      </rPr>
      <t>，基本没听说过坏的～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顾客：那我放心了。</t>
    </r>
  </si>
  <si>
    <t>《实施条例》第九条</t>
  </si>
  <si>
    <t>缺的信息：销量和好评率是否真实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</si>
  <si>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R2-02</t>
    </r>
  </si>
  <si>
    <r>
      <t>顾客：这个儿童水杯材质安全吗？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客服：亲，我们这款是食品级材质，有第三方检测报告的呢～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顾客：能发我看看报告吗？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客服：报告在仓库那边，我之后帮您问问，您先放心下单～</t>
    </r>
  </si>
  <si>
    <t>《保护法》第二十条第一款、第八条</t>
  </si>
  <si>
    <t>缺的信息：检测报告是否真实存在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</si>
  <si>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R3-01</t>
    </r>
  </si>
  <si>
    <r>
      <t>顾客：三天前提交的换货申请，一直没有消息。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客服：亲，我帮您催一下仓库哦～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顾客：昨天你也这么说。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客服：亲，真的在帮您催了呢，请再耐心等等～</t>
    </r>
  </si>
  <si>
    <t>《保护法》第五十六条第一款第（八）项；《实施条例》第四十四条第一款</t>
  </si>
  <si>
    <t>缺的信息：是否真的在催、仓库是否正常处理中，无法判断是否故意拖延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</si>
  <si>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R3-02</t>
    </r>
  </si>
  <si>
    <r>
      <t>顾客：杯盖有点松，扣不紧，想换一个。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客服：这属于正常使用磨损，不属于质量问题，不能换。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顾客：我才用了一周，怎么会磨损？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客服：我们这边判断是正常磨损，不换。</t>
    </r>
  </si>
  <si>
    <t>《保护法》第二十四条</t>
  </si>
  <si>
    <t>缺的信息：商品实际状况（无照片或检测结果）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</si>
  <si>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R4-01</t>
    </r>
  </si>
  <si>
    <r>
      <t>顾客：吃了你们的零食肚子疼，你们得给个说法。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客服：非常抱歉。麻烦您提供一下就诊记录，我们好评估赔偿。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顾客：需要这个吗？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客服：赔偿金额要依据就诊费用核算的。</t>
    </r>
  </si>
  <si>
    <t>《实施条例》第二十三条第二款</t>
  </si>
  <si>
    <t>缺的信息：消费者是否主张医疗费用赔偿，无法判断收集是否必要</t>
  </si>
  <si>
    <t>合规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</si>
  <si>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-01</t>
    </r>
  </si>
  <si>
    <r>
      <t>顾客：面霜收到四天，想退货。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客服：亲，请问包装和封口膜是否完好呢？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顾客：封口膜我撕开了，已经用了差不多四分之一瓶，觉得不适合我。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客服：亲，化妆品的封口膜属于必要的一次性密封包装，已经撕开并且用了不少，影响二次销售，这种情况不支持无理由退货哦～如果是质量问题，您可以拍照给我，我们再帮您处理。</t>
    </r>
  </si>
  <si>
    <t>《暂行办法》第九条第（一）项</t>
  </si>
  <si>
    <t>难题</t>
  </si>
  <si>
    <r>
      <rPr>
        <sz val="10"/>
        <rFont val="Noto Sans CJK SC"/>
        <charset val="134"/>
      </rPr>
      <t>拒绝退货有依据，看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会不会一律判</t>
    </r>
    <r>
      <rPr>
        <sz val="10"/>
        <rFont val="Arial"/>
        <charset val="1"/>
      </rPr>
      <t>R1</t>
    </r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</si>
  <si>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-02</t>
    </r>
  </si>
  <si>
    <r>
      <t>顾客：我爸妈六十多了，关节不太好，这款鱼油有用吗？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客服：亲，鱼油属于保健食品，不能代替药品哦。这款主要是日常营养补充，对叔叔阿姨有没有帮助因人而异。关节不舒服的话，建议先去医院检查一下。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顾客：好的，那我先买一瓶试试。</t>
    </r>
  </si>
  <si>
    <t>未宣称功效，并提示不能替代药品</t>
  </si>
  <si>
    <r>
      <rPr>
        <sz val="10"/>
        <rFont val="Noto Sans CJK SC"/>
        <charset val="134"/>
      </rPr>
      <t>关键词（老人、关节）敏感，但内容合规，看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会不会误报</t>
    </r>
    <r>
      <rPr>
        <sz val="10"/>
        <rFont val="Arial"/>
        <charset val="1"/>
      </rPr>
      <t>R2</t>
    </r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</si>
  <si>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-03</t>
    </r>
  </si>
  <si>
    <r>
      <t>顾客：为什么买个海外的面膜还要填身份证？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客服：亲，海外商品通过跨境渠道进口，清关时需要收件人实名信息哦～请在订单页的</t>
    </r>
    <r>
      <rPr>
        <sz val="10"/>
        <rFont val="Noto Sans CJK SC"/>
        <charset val="134"/>
      </rPr>
      <t>“</t>
    </r>
    <r>
      <rPr>
        <sz val="10"/>
        <rFont val="宋体"/>
        <charset val="134"/>
      </rPr>
      <t>实名信息</t>
    </r>
    <r>
      <rPr>
        <sz val="10"/>
        <rFont val="Noto Sans CJK SC"/>
        <charset val="134"/>
      </rPr>
      <t>”</t>
    </r>
    <r>
      <rPr>
        <sz val="10"/>
        <rFont val="宋体"/>
        <charset val="134"/>
      </rPr>
      <t>处填写就可以。证件照片请不要发在聊天里，注意保护隐私呢。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顾客：好的，我去填。</t>
    </r>
  </si>
  <si>
    <r>
      <rPr>
        <sz val="10"/>
        <rFont val="Noto Sans CJK SC"/>
        <charset val="134"/>
      </rPr>
      <t>无需引用条文（用于测试是否误报</t>
    </r>
    <r>
      <rPr>
        <sz val="10"/>
        <rFont val="Arial"/>
        <charset val="1"/>
      </rPr>
      <t>R4</t>
    </r>
    <r>
      <rPr>
        <sz val="10"/>
        <rFont val="Noto Sans CJK SC"/>
        <charset val="134"/>
      </rPr>
      <t>）</t>
    </r>
  </si>
  <si>
    <t>实名为清关所需，且客服提醒不要在聊天里发证件。真实平台流程由本人核对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</si>
  <si>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-04</t>
    </r>
  </si>
  <si>
    <r>
      <t>顾客：我下的单还没发货，想改一下收货地址。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客服：可以的，请把订单号、新的收货地址和收件人电话发我，我帮您修改。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顾客：好的，订单号</t>
    </r>
    <r>
      <rPr>
        <sz val="10"/>
        <rFont val="Arial"/>
        <charset val="134"/>
      </rPr>
      <t>××××</t>
    </r>
    <r>
      <rPr>
        <sz val="10"/>
        <rFont val="宋体"/>
        <charset val="134"/>
      </rPr>
      <t>，新地址</t>
    </r>
    <r>
      <rPr>
        <sz val="10"/>
        <rFont val="Arial"/>
        <charset val="134"/>
      </rPr>
      <t>××</t>
    </r>
    <r>
      <rPr>
        <sz val="10"/>
        <rFont val="宋体"/>
        <charset val="134"/>
      </rPr>
      <t>区</t>
    </r>
    <r>
      <rPr>
        <sz val="10"/>
        <rFont val="Arial"/>
        <charset val="134"/>
      </rPr>
      <t>××</t>
    </r>
    <r>
      <rPr>
        <sz val="10"/>
        <rFont val="宋体"/>
        <charset val="134"/>
      </rPr>
      <t>路</t>
    </r>
    <r>
      <rPr>
        <sz val="10"/>
        <rFont val="Arial"/>
        <charset val="134"/>
      </rPr>
      <t>8</t>
    </r>
    <r>
      <rPr>
        <sz val="10"/>
        <rFont val="宋体"/>
        <charset val="134"/>
      </rPr>
      <t>号，电话</t>
    </r>
    <r>
      <rPr>
        <sz val="10"/>
        <rFont val="Arial"/>
        <charset val="134"/>
      </rPr>
      <t>138××××0000</t>
    </r>
    <r>
      <rPr>
        <sz val="10"/>
        <rFont val="宋体"/>
        <charset val="134"/>
      </rPr>
      <t>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客服：已修改成功，请核对。</t>
    </r>
  </si>
  <si>
    <t>新地址和电话是改地址必需的信息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</si>
  <si>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-05</t>
    </r>
  </si>
  <si>
    <r>
      <t>顾客：我第三次问了，退款什么时候到账？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客服：已经回复过了，三到五个工作日，请耐心等待。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顾客：你们能不能快点？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客服：流程就是这样，没法加急，请等待。</t>
    </r>
  </si>
  <si>
    <r>
      <rPr>
        <sz val="10"/>
        <rFont val="Noto Sans CJK SC"/>
        <charset val="134"/>
      </rPr>
      <t>无需引用条文（用于测试是否误报</t>
    </r>
    <r>
      <rPr>
        <sz val="10"/>
        <rFont val="Arial"/>
        <charset val="1"/>
      </rPr>
      <t>R5</t>
    </r>
    <r>
      <rPr>
        <sz val="10"/>
        <rFont val="Noto Sans CJK SC"/>
        <charset val="134"/>
      </rPr>
      <t>）</t>
    </r>
  </si>
  <si>
    <t>语气冷淡，但没有辱骂、讽刺或威胁，也给了明确答复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</si>
  <si>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-06</t>
    </r>
  </si>
  <si>
    <r>
      <t>顾客：退货申请提交了，多久能处理？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客服：亲，一般三到五个工作日内会有审核结果哦～遇到活动高峰期可能会稍晚一点，有进展我会第一时间通知您。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顾客：好的。</t>
    </r>
  </si>
  <si>
    <r>
      <rPr>
        <sz val="10"/>
        <rFont val="Noto Sans CJK SC"/>
        <charset val="134"/>
      </rPr>
      <t>无需引用条文（用于测试是否误报</t>
    </r>
    <r>
      <rPr>
        <sz val="10"/>
        <rFont val="Arial"/>
        <charset val="1"/>
      </rPr>
      <t>R2</t>
    </r>
    <r>
      <rPr>
        <sz val="10"/>
        <rFont val="Noto Sans CJK SC"/>
        <charset val="134"/>
      </rPr>
      <t>、</t>
    </r>
    <r>
      <rPr>
        <sz val="10"/>
        <rFont val="Arial"/>
        <charset val="1"/>
      </rPr>
      <t>R3</t>
    </r>
    <r>
      <rPr>
        <sz val="10"/>
        <rFont val="Noto Sans CJK SC"/>
        <charset val="134"/>
      </rPr>
      <t>）</t>
    </r>
  </si>
  <si>
    <t>“一般”的时间范围，并说明可能延后，不是绝对承诺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</si>
  <si>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-07</t>
    </r>
  </si>
  <si>
    <r>
      <t>顾客：我昨天收到的刻字水杯，不喜欢，想七天无理由退货。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客服：您好，请问这个杯子是您下单时自己提供刻字内容定制的吗？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顾客：对，刻的是我名字。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客服：定制商品属于消费者定作的商品，依据规定不适用七日无理由退货，抱歉不能为您办理。如果杯子本身有质量问题，您拍照发我，我们会处理。</t>
    </r>
  </si>
  <si>
    <t>《暂行办法》第六条第（一）项；《保护法》第二十五条第一款第（一）项</t>
  </si>
  <si>
    <t>拒绝有依据，还留了质量问题的途径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</si>
  <si>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-08</t>
    </r>
  </si>
  <si>
    <r>
      <t>顾客：用了两个月的保温杯，杯身凹了一块，想换一个新的。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客服：亲，请问是怎么凹的呢？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顾客：前几天从桌上掉下来摔的。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客服：亲，这属于意外损坏，不属于质量问题，所以不能免费换新哦～如果您需要，我可以帮您转到付费维修，费用您看接受吗？</t>
    </r>
  </si>
  <si>
    <t>《保护法》第二十四条（适用于商品不符合质量要求的情形）</t>
  </si>
  <si>
    <r>
      <rPr>
        <sz val="10"/>
        <rFont val="Noto Sans CJK SC"/>
        <charset val="134"/>
      </rPr>
      <t>顾客自己承认是摔的，拒绝有理由，看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会不会一律判</t>
    </r>
    <r>
      <rPr>
        <sz val="10"/>
        <rFont val="Arial"/>
        <charset val="1"/>
      </rPr>
      <t>R3</t>
    </r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</si>
  <si>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-09</t>
    </r>
  </si>
  <si>
    <r>
      <t>顾客：运动裤尺码不合适，收到第三天，想无理由退货。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客服：可以的。请把裤子和吊牌、赠送的袜子一起寄回，退回的运费由您承担。退货地址：</t>
    </r>
    <r>
      <rPr>
        <sz val="10"/>
        <rFont val="Arial"/>
        <charset val="134"/>
      </rPr>
      <t>××</t>
    </r>
    <r>
      <rPr>
        <sz val="10"/>
        <rFont val="宋体"/>
        <charset val="134"/>
      </rPr>
      <t>区</t>
    </r>
    <r>
      <rPr>
        <sz val="10"/>
        <rFont val="Arial"/>
        <charset val="134"/>
      </rPr>
      <t>××</t>
    </r>
    <r>
      <rPr>
        <sz val="10"/>
        <rFont val="宋体"/>
        <charset val="134"/>
      </rPr>
      <t>路</t>
    </r>
    <r>
      <rPr>
        <sz val="10"/>
        <rFont val="Arial"/>
        <charset val="134"/>
      </rPr>
      <t>××</t>
    </r>
    <r>
      <rPr>
        <sz val="10"/>
        <rFont val="宋体"/>
        <charset val="134"/>
      </rPr>
      <t>号，联系人王先生，电话已在订单页展示，请保留好寄件凭证。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顾客：好的，什么时候退款？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客服：收到退回商品并确认完好后，七天内原路退款。</t>
    </r>
  </si>
  <si>
    <t>《暂行办法》第十一条、第十二条、第十三条、第十八条</t>
  </si>
  <si>
    <t>基础</t>
  </si>
  <si>
    <t>流程完整、说明准确的基础题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</si>
  <si>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-10</t>
    </r>
  </si>
  <si>
    <r>
      <t>顾客：（发了一张订单截图，截图里带着完整银行卡号）这是我的订单，你看下退款到哪了。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客服：亲，我看到截图里有完整的银行卡号呢，聊天里尽量不要发这类信息哦，我这边也不需要，您可以撤回一下～退款进度我已经查到了，原路退回，预计一到三个工作日到账。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顾客：好的，谢谢提醒。</t>
    </r>
  </si>
  <si>
    <t>对话里出现银行卡号，但客服没有索要，反而提醒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</si>
  <si>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-11</t>
    </r>
  </si>
  <si>
    <r>
      <t>顾客：你们这破店发货这么慢，是不是都是废物？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客服：非常抱歉让您久等了。我帮您查一下，订单是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20</t>
    </r>
    <r>
      <rPr>
        <sz val="10"/>
        <rFont val="宋体"/>
        <charset val="134"/>
      </rPr>
      <t>日付款、</t>
    </r>
    <r>
      <rPr>
        <sz val="10"/>
        <rFont val="Arial"/>
        <charset val="134"/>
      </rPr>
      <t>22</t>
    </r>
    <r>
      <rPr>
        <sz val="10"/>
        <rFont val="宋体"/>
        <charset val="134"/>
      </rPr>
      <t>日发出，目前在途中，预计明天送达。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顾客：少废话，慢死了。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客服：理解您着急，如果明天还没收到，您联系我，我优先帮您处理。</t>
    </r>
  </si>
  <si>
    <t>辱骂的是顾客，不是客服，客服一直礼貌回应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</si>
  <si>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-12</t>
    </r>
  </si>
  <si>
    <r>
      <t>顾客：我想开张发票，公司报销用。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客服：好的亲～麻烦提供一下发票抬头和纳税人识别号哦，我帮您申请开具。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顾客：抬头是</t>
    </r>
    <r>
      <rPr>
        <sz val="10"/>
        <rFont val="Arial"/>
        <charset val="134"/>
      </rPr>
      <t>××</t>
    </r>
    <r>
      <rPr>
        <sz val="10"/>
        <rFont val="宋体"/>
        <charset val="134"/>
      </rPr>
      <t>科技有限公司，税号</t>
    </r>
    <r>
      <rPr>
        <sz val="10"/>
        <rFont val="Arial"/>
        <charset val="134"/>
      </rPr>
      <t>91××××××××</t>
    </r>
    <r>
      <rPr>
        <sz val="10"/>
        <rFont val="宋体"/>
        <charset val="134"/>
      </rPr>
      <t>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客服：收到，电子发票开好后会发到您的订单邮箱，请注意查收～</t>
    </r>
  </si>
  <si>
    <t>开票需要抬头和税号，属于必要信息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</si>
  <si>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-13</t>
    </r>
  </si>
  <si>
    <r>
      <t>顾客：我想确认下换货的收件地址对不对。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客服：亲，换货地址是</t>
    </r>
    <r>
      <rPr>
        <sz val="10"/>
        <rFont val="Arial"/>
        <charset val="134"/>
      </rPr>
      <t>××</t>
    </r>
    <r>
      <rPr>
        <sz val="10"/>
        <rFont val="宋体"/>
        <charset val="134"/>
      </rPr>
      <t>区</t>
    </r>
    <r>
      <rPr>
        <sz val="10"/>
        <rFont val="Arial"/>
        <charset val="134"/>
      </rPr>
      <t>××</t>
    </r>
    <r>
      <rPr>
        <sz val="10"/>
        <rFont val="宋体"/>
        <charset val="134"/>
      </rPr>
      <t>路</t>
    </r>
    <r>
      <rPr>
        <sz val="10"/>
        <rFont val="Arial"/>
        <charset val="134"/>
      </rPr>
      <t>××</t>
    </r>
    <r>
      <rPr>
        <sz val="10"/>
        <rFont val="宋体"/>
        <charset val="134"/>
      </rPr>
      <t>号，收件人陈某，电话</t>
    </r>
    <r>
      <rPr>
        <sz val="10"/>
        <rFont val="Arial"/>
        <charset val="134"/>
      </rPr>
      <t>136××××8800</t>
    </r>
    <r>
      <rPr>
        <sz val="10"/>
        <rFont val="宋体"/>
        <charset val="134"/>
      </rPr>
      <t>，对吗？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顾客：对的，没问题。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客服：好的，已为您登记，预计两天内安排发出哦～</t>
    </r>
  </si>
  <si>
    <r>
      <rPr>
        <sz val="10"/>
        <rFont val="Noto Sans CJK SC"/>
        <charset val="134"/>
      </rPr>
      <t>无需引用条文（与</t>
    </r>
    <r>
      <rPr>
        <sz val="10"/>
        <rFont val="Arial"/>
        <charset val="1"/>
      </rPr>
      <t>R4-03</t>
    </r>
    <r>
      <rPr>
        <sz val="10"/>
        <rFont val="Noto Sans CJK SC"/>
        <charset val="134"/>
      </rPr>
      <t>互为反例）</t>
    </r>
  </si>
  <si>
    <r>
      <rPr>
        <sz val="10"/>
        <rFont val="Noto Sans CJK SC"/>
        <charset val="134"/>
      </rPr>
      <t>本人订单的信息，由本人确认；与</t>
    </r>
    <r>
      <rPr>
        <sz val="10"/>
        <rFont val="Arial"/>
        <charset val="1"/>
      </rPr>
      <t>R4-03</t>
    </r>
    <r>
      <rPr>
        <sz val="10"/>
        <rFont val="Noto Sans CJK SC"/>
        <charset val="134"/>
      </rPr>
      <t>是一对反例：同样报出地址，一个报错了人，一个报对了人</t>
    </r>
  </si>
  <si>
    <t>一、配比核对（公式自动统计）</t>
  </si>
  <si>
    <r>
      <rPr>
        <b/>
        <sz val="10"/>
        <rFont val="Noto Sans CJK SC"/>
        <charset val="134"/>
      </rPr>
      <t>前</t>
    </r>
    <r>
      <rPr>
        <b/>
        <sz val="10"/>
        <rFont val="Arial"/>
        <charset val="1"/>
      </rPr>
      <t>30</t>
    </r>
  </si>
  <si>
    <r>
      <rPr>
        <b/>
        <sz val="10"/>
        <rFont val="Noto Sans CJK SC"/>
        <charset val="134"/>
      </rPr>
      <t>后</t>
    </r>
    <r>
      <rPr>
        <b/>
        <sz val="10"/>
        <rFont val="Arial"/>
        <charset val="1"/>
      </rPr>
      <t>10</t>
    </r>
  </si>
  <si>
    <t>合计</t>
  </si>
  <si>
    <t>计划合计</t>
  </si>
  <si>
    <t>是否一致</t>
  </si>
  <si>
    <r>
      <rPr>
        <sz val="10"/>
        <rFont val="Noto Sans CJK SC"/>
        <charset val="134"/>
      </rPr>
      <t>说明：“计划合计”为手工填入的数字，来自文档</t>
    </r>
    <r>
      <rPr>
        <sz val="10"/>
        <rFont val="Arial"/>
        <charset val="1"/>
      </rPr>
      <t>4.1</t>
    </r>
    <r>
      <rPr>
        <sz val="10"/>
        <rFont val="Noto Sans CJK SC"/>
        <charset val="134"/>
      </rPr>
      <t>的配比方案（违规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、待复核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>、合规</t>
    </r>
    <r>
      <rPr>
        <sz val="10"/>
        <rFont val="Arial"/>
        <charset val="1"/>
      </rPr>
      <t>13</t>
    </r>
    <r>
      <rPr>
        <sz val="10"/>
        <rFont val="Noto Sans CJK SC"/>
        <charset val="134"/>
      </rPr>
      <t>）；前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应为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段，后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应为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段。</t>
    </r>
  </si>
  <si>
    <t>二、评估指标（填完“测试集”黄色列后自动计算）</t>
  </si>
  <si>
    <t>指标</t>
  </si>
  <si>
    <t>全部</t>
  </si>
  <si>
    <t>违规召回率</t>
  </si>
  <si>
    <t>误判率</t>
  </si>
  <si>
    <t>人工复核占比</t>
  </si>
  <si>
    <t>违规被判待复核（段）</t>
  </si>
  <si>
    <r>
      <rPr>
        <sz val="10"/>
        <rFont val="Noto Sans CJK SC"/>
        <charset val="134"/>
      </rPr>
      <t>计算口径（与文档</t>
    </r>
    <r>
      <rPr>
        <sz val="10"/>
        <rFont val="Arial"/>
        <charset val="1"/>
      </rPr>
      <t>4.3</t>
    </r>
    <r>
      <rPr>
        <sz val="10"/>
        <rFont val="Noto Sans CJK SC"/>
        <charset val="134"/>
      </rPr>
      <t xml:space="preserve">一致）：
</t>
    </r>
    <r>
      <rPr>
        <sz val="10"/>
        <rFont val="Arial"/>
        <charset val="1"/>
      </rPr>
      <t xml:space="preserve">· </t>
    </r>
    <r>
      <rPr>
        <sz val="10"/>
        <rFont val="Noto Sans CJK SC"/>
        <charset val="134"/>
      </rPr>
      <t xml:space="preserve">违规召回率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违规对话中，结论为“违规”且类型正确（“是否判对”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 xml:space="preserve">对）的段数 </t>
    </r>
    <r>
      <rPr>
        <sz val="10"/>
        <rFont val="Arial"/>
        <charset val="1"/>
      </rPr>
      <t xml:space="preserve">÷ </t>
    </r>
    <r>
      <rPr>
        <sz val="10"/>
        <rFont val="Noto Sans CJK SC"/>
        <charset val="134"/>
      </rPr>
      <t xml:space="preserve">违规对话总段数
</t>
    </r>
    <r>
      <rPr>
        <sz val="10"/>
        <rFont val="Arial"/>
        <charset val="1"/>
      </rPr>
      <t xml:space="preserve">· </t>
    </r>
    <r>
      <rPr>
        <sz val="10"/>
        <rFont val="Noto Sans CJK SC"/>
        <charset val="134"/>
      </rPr>
      <t xml:space="preserve">误判率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 xml:space="preserve">合规对话中，被判为“违规”的段数 </t>
    </r>
    <r>
      <rPr>
        <sz val="10"/>
        <rFont val="Arial"/>
        <charset val="1"/>
      </rPr>
      <t xml:space="preserve">÷ </t>
    </r>
    <r>
      <rPr>
        <sz val="10"/>
        <rFont val="Noto Sans CJK SC"/>
        <charset val="134"/>
      </rPr>
      <t xml:space="preserve">合规对话总段数
</t>
    </r>
    <r>
      <rPr>
        <sz val="10"/>
        <rFont val="Arial"/>
        <charset val="1"/>
      </rPr>
      <t xml:space="preserve">· </t>
    </r>
    <r>
      <rPr>
        <sz val="10"/>
        <rFont val="Noto Sans CJK SC"/>
        <charset val="134"/>
      </rPr>
      <t xml:space="preserve">人工复核占比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 xml:space="preserve">结论为“待复核”的段数 </t>
    </r>
    <r>
      <rPr>
        <sz val="10"/>
        <rFont val="Arial"/>
        <charset val="1"/>
      </rPr>
      <t xml:space="preserve">÷ </t>
    </r>
    <r>
      <rPr>
        <sz val="10"/>
        <rFont val="Noto Sans CJK SC"/>
        <charset val="134"/>
      </rPr>
      <t xml:space="preserve">该组总段数
</t>
    </r>
    <r>
      <rPr>
        <sz val="10"/>
        <rFont val="Arial"/>
        <charset val="1"/>
      </rPr>
      <t xml:space="preserve">· </t>
    </r>
    <r>
      <rPr>
        <sz val="10"/>
        <rFont val="Noto Sans CJK SC"/>
        <charset val="134"/>
      </rPr>
      <t>违规被判为“待复核”不计入召回，单独记录在第</t>
    </r>
    <r>
      <rPr>
        <sz val="10"/>
        <rFont val="Arial"/>
        <charset val="1"/>
      </rPr>
      <t>14</t>
    </r>
    <r>
      <rPr>
        <sz val="10"/>
        <rFont val="Noto Sans CJK SC"/>
        <charset val="134"/>
      </rPr>
      <t>行</t>
    </r>
  </si>
  <si>
    <t>三、怎么填</t>
  </si>
  <si>
    <r>
      <rPr>
        <sz val="10"/>
        <rFont val="Noto Sans CJK SC"/>
        <charset val="134"/>
      </rPr>
      <t>在“测试集”表里，只填黄色的四列：</t>
    </r>
    <r>
      <rPr>
        <sz val="10"/>
        <rFont val="Arial"/>
        <charset val="1"/>
      </rPr>
      <t>J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结论，下拉选）、</t>
    </r>
    <r>
      <rPr>
        <sz val="10"/>
        <rFont val="Arial"/>
        <charset val="1"/>
      </rPr>
      <t>K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类型，下拉选；合规的行选“无”，待复核的行选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给出的类型）、</t>
    </r>
    <r>
      <rPr>
        <sz val="10"/>
        <rFont val="Arial"/>
        <charset val="1"/>
      </rPr>
      <t>M</t>
    </r>
    <r>
      <rPr>
        <sz val="10"/>
        <rFont val="Noto Sans CJK SC"/>
        <charset val="134"/>
      </rPr>
      <t>（判错的行选错误归因）、</t>
    </r>
    <r>
      <rPr>
        <sz val="10"/>
        <rFont val="Arial"/>
        <charset val="1"/>
      </rPr>
      <t>N</t>
    </r>
    <r>
      <rPr>
        <sz val="10"/>
        <rFont val="Noto Sans CJK SC"/>
        <charset val="134"/>
      </rPr>
      <t>（备注）。“是否判对”（</t>
    </r>
    <r>
      <rPr>
        <sz val="10"/>
        <rFont val="Arial"/>
        <charset val="1"/>
      </rPr>
      <t>L</t>
    </r>
    <r>
      <rPr>
        <sz val="10"/>
        <rFont val="Noto Sans CJK SC"/>
        <charset val="134"/>
      </rPr>
      <t>列）自动计算，不要手填。
填写示例：某条违规对话，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判为“违规”且类型“</t>
    </r>
    <r>
      <rPr>
        <sz val="10"/>
        <rFont val="Arial"/>
        <charset val="1"/>
      </rPr>
      <t>R1”</t>
    </r>
    <r>
      <rPr>
        <sz val="10"/>
        <rFont val="Noto Sans CJK SC"/>
        <charset val="134"/>
      </rPr>
      <t>，则</t>
    </r>
    <r>
      <rPr>
        <sz val="10"/>
        <rFont val="Arial"/>
        <charset val="1"/>
      </rPr>
      <t>J</t>
    </r>
    <r>
      <rPr>
        <sz val="10"/>
        <rFont val="Noto Sans CJK SC"/>
        <charset val="134"/>
      </rPr>
      <t>选“违规”、</t>
    </r>
    <r>
      <rPr>
        <sz val="10"/>
        <rFont val="Arial"/>
        <charset val="1"/>
      </rPr>
      <t>K</t>
    </r>
    <r>
      <rPr>
        <sz val="10"/>
        <rFont val="Noto Sans CJK SC"/>
        <charset val="134"/>
      </rPr>
      <t>选“</t>
    </r>
    <r>
      <rPr>
        <sz val="10"/>
        <rFont val="Arial"/>
        <charset val="1"/>
      </rPr>
      <t>R1”</t>
    </r>
    <r>
      <rPr>
        <sz val="10"/>
        <rFont val="Noto Sans CJK SC"/>
        <charset val="134"/>
      </rPr>
      <t>。
先只填前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段；后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段等第一轮改进完成后再跑。
注意：标准答案由非法律专业人员依据法规文本和规则表确定，可能与专业判断有出入；对话为自编，措辞可能比真实场景更直白或更典型。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</si>
</sst>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theme="1"/>
      <name val="Calibri"/>
      <charset val="1"/>
    </font>
    <font>
      <b/>
      <sz val="10"/>
      <name val="Noto Sans CJK SC"/>
      <charset val="134"/>
    </font>
    <font>
      <sz val="10"/>
      <name val="Noto Sans CJK SC"/>
      <charset val="134"/>
    </font>
    <font>
      <sz val="10"/>
      <name val="Arial"/>
      <charset val="1"/>
    </font>
    <font>
      <b/>
      <sz val="10"/>
      <name val="Arial"/>
      <charset val="1"/>
    </font>
    <font>
      <sz val="10"/>
      <name val="宋体"/>
      <charset val="134"/>
    </font>
    <font>
      <sz val="10"/>
      <name val="宋体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BE6"/>
        <bgColor rgb="FFFFF2CC"/>
      </patternFill>
    </fill>
    <fill>
      <patternFill patternType="solid">
        <fgColor rgb="FFFFF2CC"/>
        <bgColor rgb="FFFFFB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BBBBB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41"/>
  <sheetViews>
    <sheetView tabSelected="1" workbookViewId="0">
      <pane xSplit="2" ySplit="1" topLeftCell="C30" activePane="bottomRight" state="frozen"/>
      <selection/>
      <selection pane="topRight"/>
      <selection pane="bottomLeft"/>
      <selection pane="bottomRight" activeCell="M41" sqref="M41"/>
    </sheetView>
  </sheetViews>
  <sheetFormatPr defaultColWidth="8.67619047619048" defaultRowHeight="15"/>
  <cols>
    <col min="1" max="1" width="10" customWidth="1"/>
    <col min="2" max="2" width="7" customWidth="1"/>
    <col min="3" max="3" width="56" customWidth="1"/>
    <col min="4" max="4" width="9" customWidth="1"/>
    <col min="5" max="5" width="8" customWidth="1"/>
    <col min="6" max="6" width="34" customWidth="1"/>
    <col min="7" max="7" width="7" customWidth="1"/>
    <col min="8" max="8" width="8" hidden="1" customWidth="1"/>
    <col min="9" max="9" width="36" customWidth="1"/>
    <col min="10" max="11" width="13" customWidth="1"/>
    <col min="12" max="12" width="9" customWidth="1"/>
    <col min="13" max="13" width="18" customWidth="1"/>
    <col min="14" max="14" width="16" customWidth="1"/>
  </cols>
  <sheetData>
    <row r="1" ht="31.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9" t="s">
        <v>10</v>
      </c>
      <c r="L1" s="10" t="s">
        <v>11</v>
      </c>
      <c r="M1" s="10" t="s">
        <v>12</v>
      </c>
      <c r="N1" s="10" t="s">
        <v>13</v>
      </c>
    </row>
    <row r="2" ht="61.5" hidden="1" customHeight="1" spans="1:14">
      <c r="A2" s="11" t="s">
        <v>14</v>
      </c>
      <c r="B2" s="12" t="s">
        <v>15</v>
      </c>
      <c r="C2" s="13" t="s">
        <v>16</v>
      </c>
      <c r="D2" s="12" t="s">
        <v>17</v>
      </c>
      <c r="E2" s="11" t="s">
        <v>18</v>
      </c>
      <c r="F2" s="14" t="s">
        <v>19</v>
      </c>
      <c r="G2" s="12" t="s">
        <v>20</v>
      </c>
      <c r="H2" s="11"/>
      <c r="I2" s="14" t="s">
        <v>21</v>
      </c>
      <c r="J2" s="15" t="s">
        <v>17</v>
      </c>
      <c r="K2" s="16" t="s">
        <v>18</v>
      </c>
      <c r="L2" s="11" t="str">
        <f t="shared" ref="L2:L41" si="0">IF(J2="","",IF(AND(J2=D2,IF(K2="无","",K2)=IF(E2="","",E2)),"对","错"))</f>
        <v>对</v>
      </c>
      <c r="M2" s="16"/>
      <c r="N2" s="16"/>
    </row>
    <row r="3" ht="75.75" hidden="1" customHeight="1" spans="1:14">
      <c r="A3" s="11" t="s">
        <v>22</v>
      </c>
      <c r="B3" s="12" t="s">
        <v>15</v>
      </c>
      <c r="C3" s="13" t="s">
        <v>23</v>
      </c>
      <c r="D3" s="12" t="s">
        <v>17</v>
      </c>
      <c r="E3" s="11" t="s">
        <v>18</v>
      </c>
      <c r="F3" s="13" t="s">
        <v>24</v>
      </c>
      <c r="G3" s="12" t="s">
        <v>20</v>
      </c>
      <c r="H3" s="11"/>
      <c r="I3" s="14" t="s">
        <v>25</v>
      </c>
      <c r="J3" s="15" t="s">
        <v>17</v>
      </c>
      <c r="K3" s="16" t="s">
        <v>18</v>
      </c>
      <c r="L3" s="11" t="str">
        <f t="shared" si="0"/>
        <v>对</v>
      </c>
      <c r="M3" s="16"/>
      <c r="N3" s="16"/>
    </row>
    <row r="4" ht="75.75" hidden="1" customHeight="1" spans="1:14">
      <c r="A4" s="11" t="s">
        <v>26</v>
      </c>
      <c r="B4" s="12" t="s">
        <v>15</v>
      </c>
      <c r="C4" s="13" t="s">
        <v>27</v>
      </c>
      <c r="D4" s="12" t="s">
        <v>17</v>
      </c>
      <c r="E4" s="11" t="s">
        <v>18</v>
      </c>
      <c r="F4" s="14" t="s">
        <v>28</v>
      </c>
      <c r="G4" s="12" t="s">
        <v>20</v>
      </c>
      <c r="H4" s="11"/>
      <c r="I4" s="14" t="s">
        <v>29</v>
      </c>
      <c r="J4" s="15" t="s">
        <v>17</v>
      </c>
      <c r="K4" s="16" t="s">
        <v>18</v>
      </c>
      <c r="L4" s="11" t="str">
        <f t="shared" si="0"/>
        <v>对</v>
      </c>
      <c r="M4" s="16"/>
      <c r="N4" s="16"/>
    </row>
    <row r="5" ht="75.75" hidden="1" customHeight="1" spans="1:14">
      <c r="A5" s="11" t="s">
        <v>30</v>
      </c>
      <c r="B5" s="12" t="s">
        <v>15</v>
      </c>
      <c r="C5" s="13" t="s">
        <v>31</v>
      </c>
      <c r="D5" s="12" t="s">
        <v>17</v>
      </c>
      <c r="E5" s="11" t="s">
        <v>18</v>
      </c>
      <c r="F5" s="14" t="s">
        <v>32</v>
      </c>
      <c r="G5" s="12" t="s">
        <v>20</v>
      </c>
      <c r="H5" s="11"/>
      <c r="I5" s="14" t="s">
        <v>33</v>
      </c>
      <c r="J5" s="15" t="s">
        <v>17</v>
      </c>
      <c r="K5" s="16" t="s">
        <v>18</v>
      </c>
      <c r="L5" s="11" t="str">
        <f t="shared" si="0"/>
        <v>对</v>
      </c>
      <c r="M5" s="16"/>
      <c r="N5" s="16"/>
    </row>
    <row r="6" ht="75.75" customHeight="1" spans="1:14">
      <c r="A6" s="11" t="s">
        <v>34</v>
      </c>
      <c r="B6" s="12" t="s">
        <v>35</v>
      </c>
      <c r="C6" s="13" t="s">
        <v>36</v>
      </c>
      <c r="D6" s="12" t="s">
        <v>17</v>
      </c>
      <c r="E6" s="11" t="s">
        <v>18</v>
      </c>
      <c r="F6" s="14" t="s">
        <v>37</v>
      </c>
      <c r="G6" s="12" t="s">
        <v>20</v>
      </c>
      <c r="H6" s="11"/>
      <c r="I6" s="14" t="s">
        <v>38</v>
      </c>
      <c r="J6" s="15" t="s">
        <v>17</v>
      </c>
      <c r="K6" s="16" t="s">
        <v>18</v>
      </c>
      <c r="L6" s="11" t="str">
        <f t="shared" si="0"/>
        <v>对</v>
      </c>
      <c r="M6" s="16"/>
      <c r="N6" s="16"/>
    </row>
    <row r="7" ht="61.5" hidden="1" customHeight="1" spans="1:14">
      <c r="A7" s="11" t="s">
        <v>39</v>
      </c>
      <c r="B7" s="12" t="s">
        <v>15</v>
      </c>
      <c r="C7" s="13" t="s">
        <v>40</v>
      </c>
      <c r="D7" s="12" t="s">
        <v>17</v>
      </c>
      <c r="E7" s="11" t="s">
        <v>41</v>
      </c>
      <c r="F7" s="14" t="s">
        <v>42</v>
      </c>
      <c r="G7" s="12" t="s">
        <v>20</v>
      </c>
      <c r="H7" s="11"/>
      <c r="I7" s="14" t="s">
        <v>43</v>
      </c>
      <c r="J7" s="15" t="s">
        <v>17</v>
      </c>
      <c r="K7" s="16" t="s">
        <v>41</v>
      </c>
      <c r="L7" s="11" t="str">
        <f t="shared" si="0"/>
        <v>对</v>
      </c>
      <c r="M7" s="16"/>
      <c r="N7" s="16"/>
    </row>
    <row r="8" ht="75.75" hidden="1" customHeight="1" spans="1:14">
      <c r="A8" s="11" t="s">
        <v>44</v>
      </c>
      <c r="B8" s="12" t="s">
        <v>15</v>
      </c>
      <c r="C8" s="13" t="s">
        <v>45</v>
      </c>
      <c r="D8" s="12" t="s">
        <v>17</v>
      </c>
      <c r="E8" s="11" t="s">
        <v>41</v>
      </c>
      <c r="F8" s="14" t="s">
        <v>46</v>
      </c>
      <c r="G8" s="12" t="s">
        <v>20</v>
      </c>
      <c r="H8" s="11"/>
      <c r="I8" s="14" t="s">
        <v>47</v>
      </c>
      <c r="J8" s="15" t="s">
        <v>17</v>
      </c>
      <c r="K8" s="16" t="s">
        <v>41</v>
      </c>
      <c r="L8" s="11" t="str">
        <f t="shared" si="0"/>
        <v>对</v>
      </c>
      <c r="M8" s="16"/>
      <c r="N8" s="16"/>
    </row>
    <row r="9" ht="90" hidden="1" customHeight="1" spans="1:14">
      <c r="A9" s="11" t="s">
        <v>48</v>
      </c>
      <c r="B9" s="12" t="s">
        <v>15</v>
      </c>
      <c r="C9" s="13" t="s">
        <v>49</v>
      </c>
      <c r="D9" s="12" t="s">
        <v>17</v>
      </c>
      <c r="E9" s="11" t="s">
        <v>41</v>
      </c>
      <c r="F9" s="14" t="s">
        <v>50</v>
      </c>
      <c r="G9" s="12" t="s">
        <v>20</v>
      </c>
      <c r="H9" s="11"/>
      <c r="I9" s="14" t="s">
        <v>51</v>
      </c>
      <c r="J9" s="15" t="s">
        <v>17</v>
      </c>
      <c r="K9" s="16" t="s">
        <v>41</v>
      </c>
      <c r="L9" s="11" t="str">
        <f t="shared" si="0"/>
        <v>对</v>
      </c>
      <c r="M9" s="16"/>
      <c r="N9" s="16"/>
    </row>
    <row r="10" ht="61.5" customHeight="1" spans="1:14">
      <c r="A10" s="11" t="s">
        <v>52</v>
      </c>
      <c r="B10" s="12" t="s">
        <v>35</v>
      </c>
      <c r="C10" s="13" t="s">
        <v>53</v>
      </c>
      <c r="D10" s="12" t="s">
        <v>17</v>
      </c>
      <c r="E10" s="11" t="s">
        <v>41</v>
      </c>
      <c r="F10" s="14" t="s">
        <v>42</v>
      </c>
      <c r="G10" s="12" t="s">
        <v>20</v>
      </c>
      <c r="H10" s="11"/>
      <c r="I10" s="14" t="s">
        <v>54</v>
      </c>
      <c r="J10" s="15" t="s">
        <v>17</v>
      </c>
      <c r="K10" s="16" t="s">
        <v>41</v>
      </c>
      <c r="L10" s="11" t="str">
        <f t="shared" si="0"/>
        <v>对</v>
      </c>
      <c r="M10" s="16"/>
      <c r="N10" s="16"/>
    </row>
    <row r="11" ht="90" hidden="1" customHeight="1" spans="1:14">
      <c r="A11" s="11" t="s">
        <v>55</v>
      </c>
      <c r="B11" s="12" t="s">
        <v>15</v>
      </c>
      <c r="C11" s="13" t="s">
        <v>56</v>
      </c>
      <c r="D11" s="12" t="s">
        <v>17</v>
      </c>
      <c r="E11" s="11" t="s">
        <v>57</v>
      </c>
      <c r="F11" s="14" t="s">
        <v>58</v>
      </c>
      <c r="G11" s="12" t="s">
        <v>59</v>
      </c>
      <c r="H11" s="11"/>
      <c r="I11" s="14" t="s">
        <v>60</v>
      </c>
      <c r="J11" s="15" t="s">
        <v>17</v>
      </c>
      <c r="K11" s="16" t="s">
        <v>57</v>
      </c>
      <c r="L11" s="11" t="str">
        <f t="shared" si="0"/>
        <v>对</v>
      </c>
      <c r="M11" s="16"/>
      <c r="N11" s="16"/>
    </row>
    <row r="12" ht="145.5" hidden="1" customHeight="1" spans="1:14">
      <c r="A12" s="11" t="s">
        <v>61</v>
      </c>
      <c r="B12" s="12" t="s">
        <v>15</v>
      </c>
      <c r="C12" s="13" t="s">
        <v>62</v>
      </c>
      <c r="D12" s="12" t="s">
        <v>17</v>
      </c>
      <c r="E12" s="11" t="s">
        <v>57</v>
      </c>
      <c r="F12" s="14" t="s">
        <v>63</v>
      </c>
      <c r="G12" s="12" t="s">
        <v>59</v>
      </c>
      <c r="H12" s="11"/>
      <c r="I12" s="14" t="s">
        <v>64</v>
      </c>
      <c r="J12" s="15" t="s">
        <v>17</v>
      </c>
      <c r="K12" s="16" t="s">
        <v>57</v>
      </c>
      <c r="L12" s="11" t="str">
        <f t="shared" si="0"/>
        <v>对</v>
      </c>
      <c r="M12" s="16"/>
      <c r="N12" s="16"/>
    </row>
    <row r="13" ht="103.5" hidden="1" customHeight="1" spans="1:14">
      <c r="A13" s="11" t="s">
        <v>65</v>
      </c>
      <c r="B13" s="12" t="s">
        <v>15</v>
      </c>
      <c r="C13" s="13" t="s">
        <v>66</v>
      </c>
      <c r="D13" s="12" t="s">
        <v>17</v>
      </c>
      <c r="E13" s="11" t="s">
        <v>57</v>
      </c>
      <c r="F13" s="14" t="s">
        <v>67</v>
      </c>
      <c r="G13" s="12" t="s">
        <v>59</v>
      </c>
      <c r="H13" s="11"/>
      <c r="I13" s="14" t="s">
        <v>68</v>
      </c>
      <c r="J13" s="15" t="s">
        <v>17</v>
      </c>
      <c r="K13" s="16" t="s">
        <v>57</v>
      </c>
      <c r="L13" s="11" t="str">
        <f t="shared" si="0"/>
        <v>对</v>
      </c>
      <c r="M13" s="16"/>
      <c r="N13" s="16"/>
    </row>
    <row r="14" ht="103.5" customHeight="1" spans="1:14">
      <c r="A14" s="11" t="s">
        <v>69</v>
      </c>
      <c r="B14" s="12" t="s">
        <v>35</v>
      </c>
      <c r="C14" s="13" t="s">
        <v>70</v>
      </c>
      <c r="D14" s="12" t="s">
        <v>17</v>
      </c>
      <c r="E14" s="11" t="s">
        <v>57</v>
      </c>
      <c r="F14" s="14" t="s">
        <v>71</v>
      </c>
      <c r="G14" s="12" t="s">
        <v>59</v>
      </c>
      <c r="H14" s="11"/>
      <c r="I14" s="14" t="s">
        <v>72</v>
      </c>
      <c r="J14" s="15" t="s">
        <v>17</v>
      </c>
      <c r="K14" s="16" t="s">
        <v>57</v>
      </c>
      <c r="L14" s="11" t="str">
        <f t="shared" si="0"/>
        <v>对</v>
      </c>
      <c r="M14" s="16"/>
      <c r="N14" s="16"/>
    </row>
    <row r="15" ht="75.75" hidden="1" customHeight="1" spans="1:14">
      <c r="A15" s="11" t="s">
        <v>73</v>
      </c>
      <c r="B15" s="12" t="s">
        <v>15</v>
      </c>
      <c r="C15" s="13" t="s">
        <v>74</v>
      </c>
      <c r="D15" s="12" t="s">
        <v>17</v>
      </c>
      <c r="E15" s="11" t="s">
        <v>75</v>
      </c>
      <c r="F15" s="14" t="s">
        <v>76</v>
      </c>
      <c r="G15" s="12" t="s">
        <v>20</v>
      </c>
      <c r="H15" s="11"/>
      <c r="I15" s="14" t="s">
        <v>77</v>
      </c>
      <c r="J15" s="15"/>
      <c r="K15" s="16"/>
      <c r="L15" s="11" t="str">
        <f t="shared" si="0"/>
        <v/>
      </c>
      <c r="M15" s="16"/>
      <c r="N15" s="16"/>
    </row>
    <row r="16" ht="103.5" hidden="1" customHeight="1" spans="1:14">
      <c r="A16" s="11" t="s">
        <v>78</v>
      </c>
      <c r="B16" s="12" t="s">
        <v>15</v>
      </c>
      <c r="C16" s="13" t="s">
        <v>79</v>
      </c>
      <c r="D16" s="12" t="s">
        <v>17</v>
      </c>
      <c r="E16" s="11" t="s">
        <v>75</v>
      </c>
      <c r="F16" s="14" t="s">
        <v>80</v>
      </c>
      <c r="G16" s="12" t="s">
        <v>59</v>
      </c>
      <c r="H16" s="11"/>
      <c r="I16" s="14" t="s">
        <v>81</v>
      </c>
      <c r="J16" s="15" t="s">
        <v>17</v>
      </c>
      <c r="K16" s="16" t="s">
        <v>75</v>
      </c>
      <c r="L16" s="11" t="str">
        <f t="shared" si="0"/>
        <v>对</v>
      </c>
      <c r="M16" s="16"/>
      <c r="N16" s="16"/>
    </row>
    <row r="17" ht="103.5" hidden="1" customHeight="1" spans="1:14">
      <c r="A17" s="11" t="s">
        <v>82</v>
      </c>
      <c r="B17" s="12" t="s">
        <v>15</v>
      </c>
      <c r="C17" s="13" t="s">
        <v>83</v>
      </c>
      <c r="D17" s="12" t="s">
        <v>17</v>
      </c>
      <c r="E17" s="11" t="s">
        <v>75</v>
      </c>
      <c r="F17" s="14" t="s">
        <v>84</v>
      </c>
      <c r="G17" s="12" t="s">
        <v>85</v>
      </c>
      <c r="H17" s="11"/>
      <c r="I17" s="14" t="s">
        <v>86</v>
      </c>
      <c r="J17" s="15"/>
      <c r="K17" s="16"/>
      <c r="L17" s="11" t="str">
        <f t="shared" si="0"/>
        <v/>
      </c>
      <c r="M17" s="16"/>
      <c r="N17" s="16"/>
    </row>
    <row r="18" ht="75.75" customHeight="1" spans="1:14">
      <c r="A18" s="11" t="s">
        <v>87</v>
      </c>
      <c r="B18" s="12" t="s">
        <v>35</v>
      </c>
      <c r="C18" s="13" t="s">
        <v>88</v>
      </c>
      <c r="D18" s="12" t="s">
        <v>17</v>
      </c>
      <c r="E18" s="11" t="s">
        <v>75</v>
      </c>
      <c r="F18" s="14" t="s">
        <v>89</v>
      </c>
      <c r="G18" s="12" t="s">
        <v>59</v>
      </c>
      <c r="H18" s="11"/>
      <c r="I18" s="14" t="s">
        <v>90</v>
      </c>
      <c r="J18" s="16" t="s">
        <v>91</v>
      </c>
      <c r="K18" s="16" t="s">
        <v>75</v>
      </c>
      <c r="L18" s="11" t="str">
        <f t="shared" si="0"/>
        <v>错</v>
      </c>
      <c r="M18" s="16"/>
      <c r="N18" s="16"/>
    </row>
    <row r="19" ht="75.75" hidden="1" customHeight="1" spans="1:14">
      <c r="A19" s="11" t="s">
        <v>92</v>
      </c>
      <c r="B19" s="12" t="s">
        <v>15</v>
      </c>
      <c r="C19" s="13" t="s">
        <v>93</v>
      </c>
      <c r="D19" s="12" t="s">
        <v>17</v>
      </c>
      <c r="E19" s="11" t="s">
        <v>94</v>
      </c>
      <c r="F19" s="14" t="s">
        <v>95</v>
      </c>
      <c r="G19" s="12" t="s">
        <v>20</v>
      </c>
      <c r="H19" s="11"/>
      <c r="I19" s="14" t="s">
        <v>96</v>
      </c>
      <c r="J19" s="15" t="s">
        <v>17</v>
      </c>
      <c r="K19" s="16" t="s">
        <v>94</v>
      </c>
      <c r="L19" s="11" t="str">
        <f t="shared" si="0"/>
        <v>对</v>
      </c>
      <c r="M19" s="16"/>
      <c r="N19" s="16"/>
    </row>
    <row r="20" ht="90" hidden="1" customHeight="1" spans="1:14">
      <c r="A20" s="11" t="s">
        <v>97</v>
      </c>
      <c r="B20" s="12" t="s">
        <v>15</v>
      </c>
      <c r="C20" s="13" t="s">
        <v>98</v>
      </c>
      <c r="D20" s="12" t="s">
        <v>17</v>
      </c>
      <c r="E20" s="11" t="s">
        <v>94</v>
      </c>
      <c r="F20" s="14" t="s">
        <v>95</v>
      </c>
      <c r="G20" s="12" t="s">
        <v>59</v>
      </c>
      <c r="H20" s="11"/>
      <c r="I20" s="14" t="s">
        <v>99</v>
      </c>
      <c r="J20" s="15" t="s">
        <v>17</v>
      </c>
      <c r="K20" s="16" t="s">
        <v>94</v>
      </c>
      <c r="L20" s="11" t="str">
        <f t="shared" si="0"/>
        <v>对</v>
      </c>
      <c r="M20" s="16"/>
      <c r="N20" s="16"/>
    </row>
    <row r="21" ht="61.5" customHeight="1" spans="1:14">
      <c r="A21" s="11" t="s">
        <v>100</v>
      </c>
      <c r="B21" s="12" t="s">
        <v>35</v>
      </c>
      <c r="C21" s="13" t="s">
        <v>101</v>
      </c>
      <c r="D21" s="12" t="s">
        <v>17</v>
      </c>
      <c r="E21" s="11" t="s">
        <v>94</v>
      </c>
      <c r="F21" s="14" t="s">
        <v>95</v>
      </c>
      <c r="G21" s="12" t="s">
        <v>85</v>
      </c>
      <c r="H21" s="11"/>
      <c r="I21" s="14" t="s">
        <v>102</v>
      </c>
      <c r="J21" s="15" t="s">
        <v>17</v>
      </c>
      <c r="K21" s="16" t="s">
        <v>94</v>
      </c>
      <c r="L21" s="11" t="str">
        <f t="shared" si="0"/>
        <v>对</v>
      </c>
      <c r="M21" s="16"/>
      <c r="N21" s="16"/>
    </row>
    <row r="22" ht="75.75" hidden="1" customHeight="1" spans="1:14">
      <c r="A22" s="12" t="s">
        <v>103</v>
      </c>
      <c r="B22" s="12" t="s">
        <v>15</v>
      </c>
      <c r="C22" s="13" t="s">
        <v>104</v>
      </c>
      <c r="D22" s="12" t="s">
        <v>91</v>
      </c>
      <c r="E22" s="11" t="s">
        <v>18</v>
      </c>
      <c r="F22" s="14" t="s">
        <v>105</v>
      </c>
      <c r="G22" s="12" t="s">
        <v>85</v>
      </c>
      <c r="H22" s="11"/>
      <c r="I22" s="14" t="s">
        <v>106</v>
      </c>
      <c r="J22" s="16" t="s">
        <v>91</v>
      </c>
      <c r="K22" s="16" t="s">
        <v>18</v>
      </c>
      <c r="L22" s="11" t="str">
        <f t="shared" si="0"/>
        <v>对</v>
      </c>
      <c r="M22" s="16"/>
      <c r="N22" s="16"/>
    </row>
    <row r="23" ht="61.5" hidden="1" customHeight="1" spans="1:14">
      <c r="A23" s="12" t="s">
        <v>107</v>
      </c>
      <c r="B23" s="12" t="s">
        <v>15</v>
      </c>
      <c r="C23" s="13" t="s">
        <v>108</v>
      </c>
      <c r="D23" s="12" t="s">
        <v>91</v>
      </c>
      <c r="E23" s="11" t="s">
        <v>18</v>
      </c>
      <c r="F23" s="14" t="s">
        <v>32</v>
      </c>
      <c r="G23" s="12" t="s">
        <v>85</v>
      </c>
      <c r="H23" s="11"/>
      <c r="I23" s="14" t="s">
        <v>109</v>
      </c>
      <c r="J23" s="16" t="s">
        <v>91</v>
      </c>
      <c r="K23" s="16" t="s">
        <v>18</v>
      </c>
      <c r="L23" s="11" t="str">
        <f t="shared" si="0"/>
        <v>对</v>
      </c>
      <c r="M23" s="16"/>
      <c r="N23" s="16"/>
    </row>
    <row r="24" ht="61.5" hidden="1" customHeight="1" spans="1:14">
      <c r="A24" s="12" t="s">
        <v>110</v>
      </c>
      <c r="B24" s="12" t="s">
        <v>15</v>
      </c>
      <c r="C24" s="13" t="s">
        <v>111</v>
      </c>
      <c r="D24" s="12" t="s">
        <v>91</v>
      </c>
      <c r="E24" s="11" t="s">
        <v>41</v>
      </c>
      <c r="F24" s="14" t="s">
        <v>112</v>
      </c>
      <c r="G24" s="12" t="s">
        <v>59</v>
      </c>
      <c r="H24" s="11"/>
      <c r="I24" s="14" t="s">
        <v>113</v>
      </c>
      <c r="J24" s="16" t="s">
        <v>91</v>
      </c>
      <c r="K24" s="16" t="s">
        <v>41</v>
      </c>
      <c r="L24" s="11" t="str">
        <f t="shared" si="0"/>
        <v>对</v>
      </c>
      <c r="M24" s="16"/>
      <c r="N24" s="16"/>
    </row>
    <row r="25" ht="90" customHeight="1" spans="1:14">
      <c r="A25" s="12" t="s">
        <v>114</v>
      </c>
      <c r="B25" s="12" t="s">
        <v>35</v>
      </c>
      <c r="C25" s="13" t="s">
        <v>115</v>
      </c>
      <c r="D25" s="12" t="s">
        <v>91</v>
      </c>
      <c r="E25" s="11" t="s">
        <v>41</v>
      </c>
      <c r="F25" s="14" t="s">
        <v>116</v>
      </c>
      <c r="G25" s="12" t="s">
        <v>59</v>
      </c>
      <c r="H25" s="11"/>
      <c r="I25" s="14" t="s">
        <v>117</v>
      </c>
      <c r="J25" s="16" t="s">
        <v>91</v>
      </c>
      <c r="K25" s="16" t="s">
        <v>41</v>
      </c>
      <c r="L25" s="11" t="str">
        <f t="shared" si="0"/>
        <v>对</v>
      </c>
      <c r="M25" s="16"/>
      <c r="N25" s="16"/>
    </row>
    <row r="26" ht="61.5" hidden="1" customHeight="1" spans="1:14">
      <c r="A26" s="12" t="s">
        <v>118</v>
      </c>
      <c r="B26" s="12" t="s">
        <v>15</v>
      </c>
      <c r="C26" s="13" t="s">
        <v>119</v>
      </c>
      <c r="D26" s="12" t="s">
        <v>91</v>
      </c>
      <c r="E26" s="11" t="s">
        <v>57</v>
      </c>
      <c r="F26" s="14" t="s">
        <v>120</v>
      </c>
      <c r="G26" s="12" t="s">
        <v>59</v>
      </c>
      <c r="H26" s="11"/>
      <c r="I26" s="14" t="s">
        <v>121</v>
      </c>
      <c r="J26" s="16" t="s">
        <v>91</v>
      </c>
      <c r="K26" s="16" t="s">
        <v>57</v>
      </c>
      <c r="L26" s="11" t="str">
        <f t="shared" si="0"/>
        <v>对</v>
      </c>
      <c r="M26" s="16"/>
      <c r="N26" s="16"/>
    </row>
    <row r="27" ht="61.5" hidden="1" customHeight="1" spans="1:14">
      <c r="A27" s="12" t="s">
        <v>122</v>
      </c>
      <c r="B27" s="12" t="s">
        <v>15</v>
      </c>
      <c r="C27" s="13" t="s">
        <v>123</v>
      </c>
      <c r="D27" s="12" t="s">
        <v>91</v>
      </c>
      <c r="E27" s="11" t="s">
        <v>57</v>
      </c>
      <c r="F27" s="14" t="s">
        <v>124</v>
      </c>
      <c r="G27" s="12" t="s">
        <v>85</v>
      </c>
      <c r="H27" s="11"/>
      <c r="I27" s="14" t="s">
        <v>125</v>
      </c>
      <c r="J27" s="16" t="s">
        <v>91</v>
      </c>
      <c r="K27" s="16" t="s">
        <v>57</v>
      </c>
      <c r="L27" s="11" t="str">
        <f t="shared" si="0"/>
        <v>对</v>
      </c>
      <c r="M27" s="16"/>
      <c r="N27" s="16"/>
    </row>
    <row r="28" ht="75.75" hidden="1" customHeight="1" spans="1:14">
      <c r="A28" s="12" t="s">
        <v>126</v>
      </c>
      <c r="B28" s="12" t="s">
        <v>15</v>
      </c>
      <c r="C28" s="13" t="s">
        <v>127</v>
      </c>
      <c r="D28" s="12" t="s">
        <v>91</v>
      </c>
      <c r="E28" s="11" t="s">
        <v>75</v>
      </c>
      <c r="F28" s="14" t="s">
        <v>128</v>
      </c>
      <c r="G28" s="12" t="s">
        <v>85</v>
      </c>
      <c r="H28" s="11"/>
      <c r="I28" s="14" t="s">
        <v>129</v>
      </c>
      <c r="J28" s="15" t="s">
        <v>130</v>
      </c>
      <c r="K28" s="16"/>
      <c r="L28" s="11" t="str">
        <f t="shared" si="0"/>
        <v>错</v>
      </c>
      <c r="M28" s="15"/>
      <c r="N28" s="15"/>
    </row>
    <row r="29" ht="117.75" hidden="1" customHeight="1" spans="1:14">
      <c r="A29" s="12" t="s">
        <v>131</v>
      </c>
      <c r="B29" s="12" t="s">
        <v>15</v>
      </c>
      <c r="C29" s="13" t="s">
        <v>132</v>
      </c>
      <c r="D29" s="12" t="s">
        <v>130</v>
      </c>
      <c r="E29" s="11"/>
      <c r="F29" s="14" t="s">
        <v>133</v>
      </c>
      <c r="G29" s="12" t="s">
        <v>59</v>
      </c>
      <c r="H29" s="12" t="s">
        <v>134</v>
      </c>
      <c r="I29" s="14" t="s">
        <v>135</v>
      </c>
      <c r="J29" s="15" t="s">
        <v>130</v>
      </c>
      <c r="K29" s="16"/>
      <c r="L29" s="11" t="str">
        <f t="shared" si="0"/>
        <v>对</v>
      </c>
      <c r="M29" s="16"/>
      <c r="N29" s="16"/>
    </row>
    <row r="30" ht="75.75" customHeight="1" spans="1:14">
      <c r="A30" s="12" t="s">
        <v>136</v>
      </c>
      <c r="B30" s="12" t="s">
        <v>35</v>
      </c>
      <c r="C30" s="13" t="s">
        <v>137</v>
      </c>
      <c r="D30" s="12" t="s">
        <v>130</v>
      </c>
      <c r="E30" s="11"/>
      <c r="F30" s="14" t="s">
        <v>138</v>
      </c>
      <c r="G30" s="12" t="s">
        <v>85</v>
      </c>
      <c r="H30" s="12" t="s">
        <v>134</v>
      </c>
      <c r="I30" s="14" t="s">
        <v>139</v>
      </c>
      <c r="J30" s="15" t="s">
        <v>130</v>
      </c>
      <c r="K30" s="16"/>
      <c r="L30" s="11" t="str">
        <f t="shared" si="0"/>
        <v>对</v>
      </c>
      <c r="M30" s="16"/>
      <c r="N30" s="16"/>
    </row>
    <row r="31" ht="75.75" hidden="1" customHeight="1" spans="1:14">
      <c r="A31" s="12" t="s">
        <v>140</v>
      </c>
      <c r="B31" s="12" t="s">
        <v>15</v>
      </c>
      <c r="C31" s="13" t="s">
        <v>141</v>
      </c>
      <c r="D31" s="12" t="s">
        <v>130</v>
      </c>
      <c r="E31" s="11"/>
      <c r="F31" s="14" t="s">
        <v>142</v>
      </c>
      <c r="G31" s="12" t="s">
        <v>59</v>
      </c>
      <c r="H31" s="12" t="s">
        <v>134</v>
      </c>
      <c r="I31" s="14" t="s">
        <v>143</v>
      </c>
      <c r="J31" s="15" t="s">
        <v>130</v>
      </c>
      <c r="K31" s="16"/>
      <c r="L31" s="11" t="str">
        <f t="shared" si="0"/>
        <v>对</v>
      </c>
      <c r="M31" s="16"/>
      <c r="N31" s="16"/>
    </row>
    <row r="32" ht="90" hidden="1" customHeight="1" spans="1:14">
      <c r="A32" s="12" t="s">
        <v>144</v>
      </c>
      <c r="B32" s="12" t="s">
        <v>15</v>
      </c>
      <c r="C32" s="13" t="s">
        <v>145</v>
      </c>
      <c r="D32" s="12" t="s">
        <v>130</v>
      </c>
      <c r="E32" s="11"/>
      <c r="F32" s="14" t="s">
        <v>142</v>
      </c>
      <c r="G32" s="12" t="s">
        <v>85</v>
      </c>
      <c r="H32" s="12" t="s">
        <v>134</v>
      </c>
      <c r="I32" s="14" t="s">
        <v>146</v>
      </c>
      <c r="J32" s="15" t="s">
        <v>130</v>
      </c>
      <c r="K32" s="16"/>
      <c r="L32" s="11" t="str">
        <f t="shared" si="0"/>
        <v>对</v>
      </c>
      <c r="M32" s="16"/>
      <c r="N32" s="16"/>
    </row>
    <row r="33" ht="61.5" hidden="1" customHeight="1" spans="1:14">
      <c r="A33" s="12" t="s">
        <v>147</v>
      </c>
      <c r="B33" s="12" t="s">
        <v>15</v>
      </c>
      <c r="C33" s="13" t="s">
        <v>148</v>
      </c>
      <c r="D33" s="12" t="s">
        <v>130</v>
      </c>
      <c r="E33" s="11"/>
      <c r="F33" s="14" t="s">
        <v>149</v>
      </c>
      <c r="G33" s="12" t="s">
        <v>20</v>
      </c>
      <c r="H33" s="12" t="s">
        <v>134</v>
      </c>
      <c r="I33" s="14" t="s">
        <v>150</v>
      </c>
      <c r="J33" s="15" t="s">
        <v>130</v>
      </c>
      <c r="K33" s="16"/>
      <c r="L33" s="11" t="str">
        <f t="shared" si="0"/>
        <v>对</v>
      </c>
      <c r="M33" s="16"/>
      <c r="N33" s="16"/>
    </row>
    <row r="34" ht="75.75" hidden="1" customHeight="1" spans="1:14">
      <c r="A34" s="12" t="s">
        <v>151</v>
      </c>
      <c r="B34" s="12" t="s">
        <v>15</v>
      </c>
      <c r="C34" s="13" t="s">
        <v>152</v>
      </c>
      <c r="D34" s="12" t="s">
        <v>130</v>
      </c>
      <c r="E34" s="11"/>
      <c r="F34" s="14" t="s">
        <v>153</v>
      </c>
      <c r="G34" s="12" t="s">
        <v>59</v>
      </c>
      <c r="H34" s="12" t="s">
        <v>134</v>
      </c>
      <c r="I34" s="14" t="s">
        <v>154</v>
      </c>
      <c r="J34" s="15" t="s">
        <v>130</v>
      </c>
      <c r="K34" s="16"/>
      <c r="L34" s="11" t="str">
        <f t="shared" si="0"/>
        <v>对</v>
      </c>
      <c r="M34" s="16"/>
      <c r="N34" s="16"/>
    </row>
    <row r="35" ht="117.75" hidden="1" customHeight="1" spans="1:14">
      <c r="A35" s="12" t="s">
        <v>155</v>
      </c>
      <c r="B35" s="12" t="s">
        <v>15</v>
      </c>
      <c r="C35" s="13" t="s">
        <v>156</v>
      </c>
      <c r="D35" s="12" t="s">
        <v>130</v>
      </c>
      <c r="E35" s="11"/>
      <c r="F35" s="14" t="s">
        <v>157</v>
      </c>
      <c r="G35" s="12" t="s">
        <v>85</v>
      </c>
      <c r="H35" s="12" t="s">
        <v>134</v>
      </c>
      <c r="I35" s="14" t="s">
        <v>158</v>
      </c>
      <c r="J35" s="15" t="s">
        <v>130</v>
      </c>
      <c r="K35" s="16"/>
      <c r="L35" s="11" t="str">
        <f t="shared" si="0"/>
        <v>对</v>
      </c>
      <c r="M35" s="16"/>
      <c r="N35" s="16"/>
    </row>
    <row r="36" ht="103.5" hidden="1" customHeight="1" spans="1:14">
      <c r="A36" s="12" t="s">
        <v>159</v>
      </c>
      <c r="B36" s="12" t="s">
        <v>15</v>
      </c>
      <c r="C36" s="13" t="s">
        <v>160</v>
      </c>
      <c r="D36" s="12" t="s">
        <v>130</v>
      </c>
      <c r="E36" s="11"/>
      <c r="F36" s="14" t="s">
        <v>161</v>
      </c>
      <c r="G36" s="12" t="s">
        <v>59</v>
      </c>
      <c r="H36" s="12" t="s">
        <v>134</v>
      </c>
      <c r="I36" s="14" t="s">
        <v>162</v>
      </c>
      <c r="J36" s="15" t="s">
        <v>130</v>
      </c>
      <c r="K36" s="16"/>
      <c r="L36" s="11" t="str">
        <f t="shared" si="0"/>
        <v>对</v>
      </c>
      <c r="M36" s="16"/>
      <c r="N36" s="16"/>
    </row>
    <row r="37" ht="103.5" hidden="1" customHeight="1" spans="1:14">
      <c r="A37" s="12" t="s">
        <v>163</v>
      </c>
      <c r="B37" s="12" t="s">
        <v>15</v>
      </c>
      <c r="C37" s="13" t="s">
        <v>164</v>
      </c>
      <c r="D37" s="12" t="s">
        <v>130</v>
      </c>
      <c r="E37" s="11"/>
      <c r="F37" s="14" t="s">
        <v>165</v>
      </c>
      <c r="G37" s="12" t="s">
        <v>20</v>
      </c>
      <c r="H37" s="12" t="s">
        <v>166</v>
      </c>
      <c r="I37" s="14" t="s">
        <v>167</v>
      </c>
      <c r="J37" s="15" t="s">
        <v>130</v>
      </c>
      <c r="K37" s="16"/>
      <c r="L37" s="11" t="str">
        <f t="shared" si="0"/>
        <v>对</v>
      </c>
      <c r="M37" s="16"/>
      <c r="N37" s="16"/>
    </row>
    <row r="38" ht="103.5" customHeight="1" spans="1:14">
      <c r="A38" s="12" t="s">
        <v>168</v>
      </c>
      <c r="B38" s="12" t="s">
        <v>35</v>
      </c>
      <c r="C38" s="13" t="s">
        <v>169</v>
      </c>
      <c r="D38" s="12" t="s">
        <v>130</v>
      </c>
      <c r="E38" s="11"/>
      <c r="F38" s="14" t="s">
        <v>142</v>
      </c>
      <c r="G38" s="12" t="s">
        <v>59</v>
      </c>
      <c r="H38" s="12" t="s">
        <v>134</v>
      </c>
      <c r="I38" s="14" t="s">
        <v>170</v>
      </c>
      <c r="J38" s="15" t="s">
        <v>130</v>
      </c>
      <c r="K38" s="16"/>
      <c r="L38" s="11" t="str">
        <f t="shared" si="0"/>
        <v>对</v>
      </c>
      <c r="M38" s="16"/>
      <c r="N38" s="16"/>
    </row>
    <row r="39" ht="103.5" customHeight="1" spans="1:14">
      <c r="A39" s="12" t="s">
        <v>171</v>
      </c>
      <c r="B39" s="12" t="s">
        <v>35</v>
      </c>
      <c r="C39" s="13" t="s">
        <v>172</v>
      </c>
      <c r="D39" s="12" t="s">
        <v>130</v>
      </c>
      <c r="E39" s="11"/>
      <c r="F39" s="14" t="s">
        <v>149</v>
      </c>
      <c r="G39" s="12" t="s">
        <v>85</v>
      </c>
      <c r="H39" s="12" t="s">
        <v>134</v>
      </c>
      <c r="I39" s="14" t="s">
        <v>173</v>
      </c>
      <c r="J39" s="15" t="s">
        <v>130</v>
      </c>
      <c r="K39" s="16"/>
      <c r="L39" s="11" t="str">
        <f t="shared" si="0"/>
        <v>对</v>
      </c>
      <c r="M39" s="16"/>
      <c r="N39" s="16"/>
    </row>
    <row r="40" ht="103.5" hidden="1" customHeight="1" spans="1:14">
      <c r="A40" s="12" t="s">
        <v>174</v>
      </c>
      <c r="B40" s="12" t="s">
        <v>15</v>
      </c>
      <c r="C40" s="13" t="s">
        <v>175</v>
      </c>
      <c r="D40" s="12" t="s">
        <v>130</v>
      </c>
      <c r="E40" s="11"/>
      <c r="F40" s="14" t="s">
        <v>142</v>
      </c>
      <c r="G40" s="12" t="s">
        <v>59</v>
      </c>
      <c r="H40" s="12" t="s">
        <v>134</v>
      </c>
      <c r="I40" s="14" t="s">
        <v>176</v>
      </c>
      <c r="J40" s="15" t="s">
        <v>130</v>
      </c>
      <c r="K40" s="16"/>
      <c r="L40" s="11" t="str">
        <f t="shared" si="0"/>
        <v>对</v>
      </c>
      <c r="M40" s="16"/>
      <c r="N40" s="16"/>
    </row>
    <row r="41" ht="75.75" customHeight="1" spans="1:14">
      <c r="A41" s="12" t="s">
        <v>177</v>
      </c>
      <c r="B41" s="12" t="s">
        <v>35</v>
      </c>
      <c r="C41" s="13" t="s">
        <v>178</v>
      </c>
      <c r="D41" s="12" t="s">
        <v>130</v>
      </c>
      <c r="E41" s="11"/>
      <c r="F41" s="14" t="s">
        <v>179</v>
      </c>
      <c r="G41" s="12" t="s">
        <v>85</v>
      </c>
      <c r="H41" s="12" t="s">
        <v>134</v>
      </c>
      <c r="I41" s="14" t="s">
        <v>180</v>
      </c>
      <c r="J41" s="15" t="s">
        <v>130</v>
      </c>
      <c r="K41" s="16"/>
      <c r="L41" s="11" t="str">
        <f t="shared" si="0"/>
        <v>对</v>
      </c>
      <c r="M41" s="16"/>
      <c r="N41" s="16"/>
    </row>
  </sheetData>
  <autoFilter xmlns:etc="http://www.wps.cn/officeDocument/2017/etCustomData" ref="A1:N41" etc:filterBottomFollowUsedRange="0">
    <filterColumn colId="1">
      <filters>
        <filter val="后10"/>
      </filters>
    </filterColumn>
    <extLst/>
  </autoFilter>
  <dataValidations count="3">
    <dataValidation type="list" allowBlank="1" sqref="J2:J41">
      <formula1>"违规,待复核,合规"</formula1>
    </dataValidation>
    <dataValidation type="list" allowBlank="1" sqref="K2:K41">
      <formula1>"R1,R2,R3,R4,R5,无"</formula1>
    </dataValidation>
    <dataValidation type="list" allowBlank="1" sqref="M2:M41">
      <formula1>"规则表没写清,法规资料没覆盖,检索没找到相关条文,模型理解偏差,其他"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:F1"/>
    </sheetView>
  </sheetViews>
  <sheetFormatPr defaultColWidth="8.67619047619048" defaultRowHeight="15" outlineLevelCol="5"/>
  <cols>
    <col min="1" max="1" width="26" customWidth="1"/>
    <col min="2" max="6" width="12" customWidth="1"/>
  </cols>
  <sheetData>
    <row r="1" customHeight="1" spans="1:6">
      <c r="A1" s="1" t="s">
        <v>181</v>
      </c>
      <c r="B1" s="1"/>
      <c r="C1" s="1"/>
      <c r="D1" s="1"/>
      <c r="E1" s="1"/>
      <c r="F1" s="1"/>
    </row>
    <row r="2" spans="1:6">
      <c r="A2" s="2" t="s">
        <v>3</v>
      </c>
      <c r="B2" s="2" t="s">
        <v>182</v>
      </c>
      <c r="C2" s="2" t="s">
        <v>183</v>
      </c>
      <c r="D2" s="2" t="s">
        <v>184</v>
      </c>
      <c r="E2" s="2" t="s">
        <v>185</v>
      </c>
      <c r="F2" s="2" t="s">
        <v>186</v>
      </c>
    </row>
    <row r="3" spans="1:6">
      <c r="A3" s="3" t="s">
        <v>17</v>
      </c>
      <c r="B3" s="3">
        <f>COUNTIFS(测试集!$D$2:$D$41,A3,测试集!$B$2:$B$41,"前30")</f>
        <v>15</v>
      </c>
      <c r="C3" s="3">
        <f>COUNTIFS(测试集!$D$2:$D$41,A3,测试集!$B$2:$B$41,"后10")</f>
        <v>5</v>
      </c>
      <c r="D3" s="3">
        <f>B3+C3</f>
        <v>20</v>
      </c>
      <c r="E3" s="4">
        <v>20</v>
      </c>
      <c r="F3" s="3" t="str">
        <f>IF(D3=E3,"一致","不一致")</f>
        <v>一致</v>
      </c>
    </row>
    <row r="4" spans="1:6">
      <c r="A4" s="3" t="s">
        <v>91</v>
      </c>
      <c r="B4" s="3">
        <f>COUNTIFS(测试集!$D$2:$D$41,A4,测试集!$B$2:$B$41,"前30")</f>
        <v>6</v>
      </c>
      <c r="C4" s="3">
        <f>COUNTIFS(测试集!$D$2:$D$41,A4,测试集!$B$2:$B$41,"后10")</f>
        <v>1</v>
      </c>
      <c r="D4" s="3">
        <f>B4+C4</f>
        <v>7</v>
      </c>
      <c r="E4" s="4">
        <v>7</v>
      </c>
      <c r="F4" s="3" t="str">
        <f>IF(D4=E4,"一致","不一致")</f>
        <v>一致</v>
      </c>
    </row>
    <row r="5" spans="1:6">
      <c r="A5" s="3" t="s">
        <v>130</v>
      </c>
      <c r="B5" s="3">
        <f>COUNTIFS(测试集!$D$2:$D$41,A5,测试集!$B$2:$B$41,"前30")</f>
        <v>9</v>
      </c>
      <c r="C5" s="3">
        <f>COUNTIFS(测试集!$D$2:$D$41,A5,测试集!$B$2:$B$41,"后10")</f>
        <v>4</v>
      </c>
      <c r="D5" s="3">
        <f>B5+C5</f>
        <v>13</v>
      </c>
      <c r="E5" s="4">
        <v>13</v>
      </c>
      <c r="F5" s="3" t="str">
        <f>IF(D5=E5,"一致","不一致")</f>
        <v>一致</v>
      </c>
    </row>
    <row r="6" spans="1:6">
      <c r="A6" s="5" t="s">
        <v>184</v>
      </c>
      <c r="B6" s="5">
        <f>SUM(B3:B5)</f>
        <v>30</v>
      </c>
      <c r="C6" s="5">
        <f>SUM(C3:C5)</f>
        <v>10</v>
      </c>
      <c r="D6" s="5">
        <f>SUM(D3:D5)</f>
        <v>40</v>
      </c>
      <c r="E6" s="5">
        <f>SUM(E3:E5)</f>
        <v>40</v>
      </c>
      <c r="F6" s="3" t="str">
        <f>IF(AND(B6=30,C6=10,D6=E6),"一致","不一致")</f>
        <v>一致</v>
      </c>
    </row>
    <row r="7" ht="42" customHeight="1" spans="1:6">
      <c r="A7" s="6" t="s">
        <v>187</v>
      </c>
      <c r="B7" s="6"/>
      <c r="C7" s="6"/>
      <c r="D7" s="6"/>
      <c r="E7" s="6"/>
      <c r="F7" s="6"/>
    </row>
    <row r="9" customHeight="1" spans="1:6">
      <c r="A9" s="1" t="s">
        <v>188</v>
      </c>
      <c r="B9" s="1"/>
      <c r="C9" s="1"/>
      <c r="D9" s="1"/>
      <c r="E9" s="1"/>
      <c r="F9" s="1"/>
    </row>
    <row r="10" spans="1:6">
      <c r="A10" s="2" t="s">
        <v>189</v>
      </c>
      <c r="B10" s="2" t="s">
        <v>182</v>
      </c>
      <c r="C10" s="2" t="s">
        <v>183</v>
      </c>
      <c r="D10" s="2" t="s">
        <v>190</v>
      </c>
    </row>
    <row r="11" spans="1:6">
      <c r="A11" s="3" t="s">
        <v>191</v>
      </c>
      <c r="B11" s="7">
        <f>IF(COUNTIFS(测试集!$J$2:$J$41,"&lt;&gt;",测试集!$B$2:$B$41,"前30")=0,"未填",COUNTIFS(测试集!$D$2:$D$41,"违规",测试集!$L$2:$L$41,"对",测试集!$B$2:$B$41,"前30")/COUNTIFS(测试集!$D$2:$D$41,"违规",测试集!$B$2:$B$41,"前30"))</f>
        <v>0.866666666666667</v>
      </c>
      <c r="C11" s="7">
        <f>IF(COUNTIFS(测试集!$J$2:$J$41,"&lt;&gt;",测试集!$B$2:$B$41,"后10")=0,"未填",COUNTIFS(测试集!$D$2:$D$41,"违规",测试集!$L$2:$L$41,"对",测试集!$B$2:$B$41,"后10")/COUNTIFS(测试集!$D$2:$D$41,"违规",测试集!$B$2:$B$41,"后10"))</f>
        <v>0.8</v>
      </c>
      <c r="D11" s="7">
        <f>IF(COUNTIFS(测试集!$J$2:$J$41,"&lt;&gt;")=0,"未填",COUNTIFS(测试集!$D$2:$D$41,"违规",测试集!$L$2:$L$41,"对")/COUNTIFS(测试集!$D$2:$D$41,"违规"))</f>
        <v>0.85</v>
      </c>
    </row>
    <row r="12" spans="1:6">
      <c r="A12" s="3" t="s">
        <v>192</v>
      </c>
      <c r="B12" s="7">
        <f>IF(COUNTIFS(测试集!$J$2:$J$41,"&lt;&gt;",测试集!$B$2:$B$41,"前30")=0,"未填",COUNTIFS(测试集!$D$2:$D$41,"合规",测试集!$J$2:$J$41,"违规",测试集!$B$2:$B$41,"前30")/COUNTIFS(测试集!$D$2:$D$41,"合规",测试集!$B$2:$B$41,"前30"))</f>
        <v>0</v>
      </c>
      <c r="C12" s="7">
        <f>IF(COUNTIFS(测试集!$J$2:$J$41,"&lt;&gt;",测试集!$B$2:$B$41,"后10")=0,"未填",COUNTIFS(测试集!$D$2:$D$41,"合规",测试集!$J$2:$J$41,"违规",测试集!$B$2:$B$41,"后10")/COUNTIFS(测试集!$D$2:$D$41,"合规",测试集!$B$2:$B$41,"后10"))</f>
        <v>0</v>
      </c>
      <c r="D12" s="7">
        <f>IF(COUNTIFS(测试集!$J$2:$J$41,"&lt;&gt;")=0,"未填",COUNTIFS(测试集!$D$2:$D$41,"合规",测试集!$J$2:$J$41,"违规")/COUNTIFS(测试集!$D$2:$D$41,"合规"))</f>
        <v>0</v>
      </c>
    </row>
    <row r="13" spans="1:6">
      <c r="A13" s="3" t="s">
        <v>193</v>
      </c>
      <c r="B13" s="7">
        <f>IF(COUNTIFS(测试集!$J$2:$J$41,"&lt;&gt;",测试集!$B$2:$B$41,"前30")=0,"未填",COUNTIFS(测试集!$J$2:$J$41,"待复核",测试集!$B$2:$B$41,"前30")/COUNTIFS(测试集!$B$2:$B$41,"前30"))</f>
        <v>0.166666666666667</v>
      </c>
      <c r="C13" s="7">
        <f>IF(COUNTIFS(测试集!$J$2:$J$41,"&lt;&gt;",测试集!$B$2:$B$41,"后10")=0,"未填",COUNTIFS(测试集!$J$2:$J$41,"待复核",测试集!$B$2:$B$41,"后10")/COUNTIFS(测试集!$B$2:$B$41,"后10"))</f>
        <v>0.2</v>
      </c>
      <c r="D13" s="7">
        <f>IF(COUNTIFS(测试集!$J$2:$J$41,"&lt;&gt;")=0,"未填",COUNTIFS(测试集!$J$2:$J$41,"待复核")/COUNTA(测试集!$B$2:$B$41))</f>
        <v>0.175</v>
      </c>
    </row>
    <row r="14" spans="1:6">
      <c r="A14" s="3" t="s">
        <v>194</v>
      </c>
      <c r="B14" s="8">
        <f>IF(COUNTIFS(测试集!$J$2:$J$41,"&lt;&gt;",测试集!$B$2:$B$41,"前30")=0,"未填",COUNTIFS(测试集!$D$2:$D$41,"违规",测试集!$J$2:$J$41,"待复核",测试集!$B$2:$B$41,"前30"))</f>
        <v>0</v>
      </c>
      <c r="C14" s="8">
        <f>IF(COUNTIFS(测试集!$J$2:$J$41,"&lt;&gt;",测试集!$B$2:$B$41,"后10")=0,"未填",COUNTIFS(测试集!$D$2:$D$41,"违规",测试集!$J$2:$J$41,"待复核",测试集!$B$2:$B$41,"后10"))</f>
        <v>1</v>
      </c>
      <c r="D14" s="8">
        <f>IF(COUNTIFS(测试集!$J$2:$J$41,"&lt;&gt;")=0,"未填",COUNTIFS(测试集!$D$2:$D$41,"违规",测试集!$J$2:$J$41,"待复核"))</f>
        <v>1</v>
      </c>
    </row>
    <row r="15" ht="99.75" customHeight="1" spans="1:6">
      <c r="A15" s="6" t="s">
        <v>195</v>
      </c>
      <c r="B15" s="6"/>
      <c r="C15" s="6"/>
      <c r="D15" s="6"/>
      <c r="E15" s="6"/>
      <c r="F15" s="6"/>
    </row>
    <row r="17" customHeight="1" spans="1:6">
      <c r="A17" s="1" t="s">
        <v>196</v>
      </c>
      <c r="B17" s="1"/>
      <c r="C17" s="1"/>
      <c r="D17" s="1"/>
      <c r="E17" s="1"/>
      <c r="F17" s="1"/>
    </row>
    <row r="18" ht="120" customHeight="1" spans="1:6">
      <c r="A18" s="6" t="s">
        <v>197</v>
      </c>
      <c r="B18" s="6"/>
      <c r="C18" s="6"/>
      <c r="D18" s="6"/>
      <c r="E18" s="6"/>
      <c r="F18" s="6"/>
    </row>
  </sheetData>
  <mergeCells count="6">
    <mergeCell ref="A1:F1"/>
    <mergeCell ref="A7:F7"/>
    <mergeCell ref="A9:F9"/>
    <mergeCell ref="A15:F15"/>
    <mergeCell ref="A17:F17"/>
    <mergeCell ref="A18:F1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测试集</vt:lpstr>
      <vt:lpstr>配比核对与指标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长街与风</cp:lastModifiedBy>
  <cp:revision>0</cp:revision>
  <dcterms:created xsi:type="dcterms:W3CDTF">2026-10-26T04:22:00Z</dcterms:created>
  <dcterms:modified xsi:type="dcterms:W3CDTF">2026-10-27T05:07:35Z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8040464F4A094A198E724A9533237F13_12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